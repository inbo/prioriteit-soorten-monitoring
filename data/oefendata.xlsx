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raisa_carmen\Documents\prioriteit-soorten-monitoring\data\"/>
    </mc:Choice>
  </mc:AlternateContent>
  <xr:revisionPtr revIDLastSave="0" documentId="13_ncr:1_{CAEA55B4-CF4E-4016-BADC-69B6A98AFA1C}" xr6:coauthVersionLast="47" xr6:coauthVersionMax="47" xr10:uidLastSave="{00000000-0000-0000-0000-000000000000}"/>
  <bookViews>
    <workbookView xWindow="-110" yWindow="-110" windowWidth="19420" windowHeight="10300" firstSheet="2" activeTab="4" xr2:uid="{00000000-000D-0000-FFFF-FFFF00000000}"/>
  </bookViews>
  <sheets>
    <sheet name="soort" sheetId="1" r:id="rId1"/>
    <sheet name="criterium" sheetId="6" r:id="rId2"/>
    <sheet name="meetnet" sheetId="3" r:id="rId3"/>
    <sheet name="soort_scores" sheetId="4" r:id="rId4"/>
    <sheet name="criterium_belang" sheetId="7" r:id="rId5"/>
    <sheet name="monitoringgroepen"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7" l="1"/>
  <c r="B21" i="7"/>
  <c r="C21" i="7"/>
  <c r="B20" i="7"/>
  <c r="B19" i="7"/>
  <c r="C20" i="7"/>
  <c r="D21" i="7"/>
  <c r="D10" i="7"/>
  <c r="C10" i="7"/>
  <c r="D11" i="7"/>
  <c r="E10" i="7"/>
  <c r="E11" i="7"/>
  <c r="F11" i="7"/>
  <c r="F1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tc={48A3A663-FBE1-447B-83CA-E48B1525563B}</author>
    <author>tc={E0BAB0C1-B8C1-4758-BE6B-779CD7130A9F}</author>
    <author>tc={2354F50B-DB50-45AB-A228-54E9B713D134}</author>
  </authors>
  <commentList>
    <comment ref="E2" authorId="0" shapeId="0" xr:uid="{48A3A663-FBE1-447B-83CA-E48B1525563B}">
      <text>
        <t>[Opmerkingenthread]
U kunt deze opmerkingenthread lezen in uw versie van Excel. Eventuele wijzigingen aan de thread gaan echter verloren als het bestand wordt geopend in een nieuwere versie van Excel. Meer informatie: https://go.microsoft.com/fwlink/?linkid=870924
Opmerking:
    Is dit een bestaand meetnet (TRUE) of niet (FALSE)</t>
      </text>
    </comment>
    <comment ref="F2" authorId="1" shapeId="0" xr:uid="{E0BAB0C1-B8C1-4758-BE6B-779CD7130A9F}">
      <text>
        <t>[Opmerkingenthread]
U kunt deze opmerkingenthread lezen in uw versie van Excel. Eventuele wijzigingen aan de thread gaan echter verloren als het bestand wordt geopend in een nieuwere versie van Excel. Meer informatie: https://go.microsoft.com/fwlink/?linkid=870924
Opmerking:
    Kosten om het meetnet als individueel meetnet uit te voeren. 
Indien het meetnet bij een meetnetgroep hoort, staat dit in het tabblad “monitoringgroepen” met bijhorende kosten.</t>
      </text>
    </comment>
    <comment ref="F3" authorId="2" shapeId="0" xr:uid="{2354F50B-DB50-45AB-A228-54E9B713D134}">
      <text>
        <t>[Opmerkingenthread]
U kunt deze opmerkingenthread lezen in uw versie van Excel. Eventuele wijzigingen aan de thread gaan echter verloren als het bestand wordt geopend in een nieuwere versie van Excel. Meer informatie: https://go.microsoft.com/fwlink/?linkid=870924
Opmerking:
    Dit zijn random waarden getrokken tussen 1 en 20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tc={63C68B28-0DC5-4207-8F8E-8923CC69164F}</author>
    <author>tc={57D3830C-9F34-4DF8-84D6-D7DE4DE1931C}</author>
  </authors>
  <commentList>
    <comment ref="B2" authorId="0" shapeId="0" xr:uid="{63C68B28-0DC5-4207-8F8E-8923CC69164F}">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Een “vaste kost” om de meetnetgroep te activeren. Deze kost wordt slechts één keer geteld, ongeacht hoeveel meetnetten er binnen de monitoringsgroep worden geselecteerd.
</t>
      </text>
    </comment>
    <comment ref="E2" authorId="1" shapeId="0" xr:uid="{57D3830C-9F34-4DF8-84D6-D7DE4DE1931C}">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Additionele kost, bovenop de groepskost indien dit meetnet wordt opgenomen.
</t>
      </text>
    </comment>
  </commentList>
</comments>
</file>

<file path=xl/sharedStrings.xml><?xml version="1.0" encoding="utf-8"?>
<sst xmlns="http://schemas.openxmlformats.org/spreadsheetml/2006/main" count="2561" uniqueCount="374">
  <si>
    <t>taxonomische_groep</t>
  </si>
  <si>
    <t>naam_nl</t>
  </si>
  <si>
    <t>naam_wetenschappelijk</t>
  </si>
  <si>
    <t>Broedvogels</t>
  </si>
  <si>
    <t>Blauwborst</t>
  </si>
  <si>
    <t>Luscinia svecica</t>
  </si>
  <si>
    <t>VRL</t>
  </si>
  <si>
    <t>I</t>
  </si>
  <si>
    <t>Boomleeuwerik</t>
  </si>
  <si>
    <t>Lullula arborea</t>
  </si>
  <si>
    <t>Bruine kiekendief</t>
  </si>
  <si>
    <t>Circus aeruginosus</t>
  </si>
  <si>
    <t>Duinpieper</t>
  </si>
  <si>
    <t>Anthus campestris</t>
  </si>
  <si>
    <t>Dwergstern</t>
  </si>
  <si>
    <t>Sternula albifrons</t>
  </si>
  <si>
    <t>Grauwe kiekendief</t>
  </si>
  <si>
    <t>Circus pygargus</t>
  </si>
  <si>
    <t>Grauwe klauwier</t>
  </si>
  <si>
    <t>Lanius collurio</t>
  </si>
  <si>
    <t>Grote stern</t>
  </si>
  <si>
    <t>Thalasseus sandvicensis</t>
  </si>
  <si>
    <t>Ijsvogel</t>
  </si>
  <si>
    <t>Alcedo atthis</t>
  </si>
  <si>
    <t>Kleine mantelmeeuw</t>
  </si>
  <si>
    <t>Larus fuscus</t>
  </si>
  <si>
    <t>Kleine zilverreiger</t>
  </si>
  <si>
    <t>Egretta garzetta</t>
  </si>
  <si>
    <t>Kluut</t>
  </si>
  <si>
    <t>Recurvirostra avosetta</t>
  </si>
  <si>
    <t>Korhoen</t>
  </si>
  <si>
    <t>Lyrurus tetrix</t>
  </si>
  <si>
    <t>Kraanvogel</t>
  </si>
  <si>
    <t>Grus grus</t>
  </si>
  <si>
    <t>Kwak</t>
  </si>
  <si>
    <t>Nycticorax nycticorax</t>
  </si>
  <si>
    <t>Kwartelkoning</t>
  </si>
  <si>
    <t>Crex crex</t>
  </si>
  <si>
    <t>Lepelaar</t>
  </si>
  <si>
    <t>Platalea leucorodia</t>
  </si>
  <si>
    <t>Middelste bonte specht</t>
  </si>
  <si>
    <t>Dendrocopos medius</t>
  </si>
  <si>
    <t>Nachtzwaluw</t>
  </si>
  <si>
    <t>Caprimulgus europaeus</t>
  </si>
  <si>
    <t>Oehoe</t>
  </si>
  <si>
    <t>Bubo bubo</t>
  </si>
  <si>
    <t>Ooievaar</t>
  </si>
  <si>
    <t>Ciconia ciconia</t>
  </si>
  <si>
    <t>Ortolaan</t>
  </si>
  <si>
    <t>Emberiza hortulana</t>
  </si>
  <si>
    <t>Porseleinhoen</t>
  </si>
  <si>
    <t>Porzana porzana</t>
  </si>
  <si>
    <t>Purperreiger</t>
  </si>
  <si>
    <t>Ardea purpurea</t>
  </si>
  <si>
    <t>Raaf</t>
  </si>
  <si>
    <t>Corvus corax</t>
  </si>
  <si>
    <t>Roerdomp</t>
  </si>
  <si>
    <t>Botaurus stellaris</t>
  </si>
  <si>
    <t>Slechtvalk</t>
  </si>
  <si>
    <t>Falco peregrinus</t>
  </si>
  <si>
    <t>Steltkluut</t>
  </si>
  <si>
    <t>Himantopus himantopus</t>
  </si>
  <si>
    <t>Strandplevier</t>
  </si>
  <si>
    <t>Charadrius alexandrinus</t>
  </si>
  <si>
    <t>Velduil</t>
  </si>
  <si>
    <t>Asio flammeus</t>
  </si>
  <si>
    <t>Visdief</t>
  </si>
  <si>
    <t>Sterna hirundo</t>
  </si>
  <si>
    <t>Wespendief</t>
  </si>
  <si>
    <t>Pernis apivorus</t>
  </si>
  <si>
    <t>Woudaap</t>
  </si>
  <si>
    <t>Ixobrychus minutus</t>
  </si>
  <si>
    <t>Zwarte specht</t>
  </si>
  <si>
    <t>Dryocopus martius</t>
  </si>
  <si>
    <t>Zwarte stern</t>
  </si>
  <si>
    <t>Chlidonias niger</t>
  </si>
  <si>
    <t>Zwarte wouw</t>
  </si>
  <si>
    <t>Milvus migrans</t>
  </si>
  <si>
    <t>Zwartkopmeeuw</t>
  </si>
  <si>
    <t>Ichtyaetus melanocephalus</t>
  </si>
  <si>
    <t>Overwinterende watervogels</t>
  </si>
  <si>
    <t>Bergeend</t>
  </si>
  <si>
    <t>Tadorna tadorna</t>
  </si>
  <si>
    <t>Goudplevier</t>
  </si>
  <si>
    <t>Pluvialis apricaria</t>
  </si>
  <si>
    <t>Grauwe gans</t>
  </si>
  <si>
    <t>Anser anser</t>
  </si>
  <si>
    <t>Grote zilverreiger</t>
  </si>
  <si>
    <t>Casmerodius albus</t>
  </si>
  <si>
    <t>Kemphaan</t>
  </si>
  <si>
    <t>Calidris pugnax</t>
  </si>
  <si>
    <t>Kleine rietgans</t>
  </si>
  <si>
    <t>Anser brachyrhynchus</t>
  </si>
  <si>
    <t>Kleine zwaan</t>
  </si>
  <si>
    <t>Cygnus columbianus</t>
  </si>
  <si>
    <t>Kokmeeuw</t>
  </si>
  <si>
    <t>Chroicocephalus ridibundus</t>
  </si>
  <si>
    <t>Kolgans</t>
  </si>
  <si>
    <t>Anser albifrons</t>
  </si>
  <si>
    <t>Krakeend</t>
  </si>
  <si>
    <t>Mareca strepera</t>
  </si>
  <si>
    <t>Kuifeend</t>
  </si>
  <si>
    <t>Aythya fuligula</t>
  </si>
  <si>
    <t>Pijlstaart</t>
  </si>
  <si>
    <t>Anas acuta</t>
  </si>
  <si>
    <t>Slobeend</t>
  </si>
  <si>
    <t>Spatula clypeata</t>
  </si>
  <si>
    <t>Smient</t>
  </si>
  <si>
    <t>Anas penelope</t>
  </si>
  <si>
    <t>Steenloper</t>
  </si>
  <si>
    <t>Arenaria interpres</t>
  </si>
  <si>
    <t>Stormmeeuw</t>
  </si>
  <si>
    <t>Larus canus</t>
  </si>
  <si>
    <t>Tafeleend</t>
  </si>
  <si>
    <t>Aythya ferina</t>
  </si>
  <si>
    <t>Toendrarietgans</t>
  </si>
  <si>
    <t>Anser serrirostris</t>
  </si>
  <si>
    <t>Wintertaling</t>
  </si>
  <si>
    <t>Anas crecca</t>
  </si>
  <si>
    <t>Wulp</t>
  </si>
  <si>
    <t>Numenius arquata</t>
  </si>
  <si>
    <t>Zilvermeeuw</t>
  </si>
  <si>
    <t>Larus argentatus</t>
  </si>
  <si>
    <t>Amfibieen</t>
  </si>
  <si>
    <t>Bastaardkikker</t>
  </si>
  <si>
    <t>Pelophylax klepton esculentus</t>
  </si>
  <si>
    <t>HRL</t>
  </si>
  <si>
    <t>V</t>
  </si>
  <si>
    <t>Boomkikker</t>
  </si>
  <si>
    <t>Hyla arborea</t>
  </si>
  <si>
    <t>IV</t>
  </si>
  <si>
    <t>Bruine kikker</t>
  </si>
  <si>
    <t>Rana temporaria</t>
  </si>
  <si>
    <t>Europese meerkikker</t>
  </si>
  <si>
    <t>Pelophylax ridibundus</t>
  </si>
  <si>
    <t>Geelbuikvuurpad</t>
  </si>
  <si>
    <t>Bombina variegata</t>
  </si>
  <si>
    <t>II+IV</t>
  </si>
  <si>
    <t>Heikikker</t>
  </si>
  <si>
    <t>Rana arvalis</t>
  </si>
  <si>
    <t>Kamsalamander</t>
  </si>
  <si>
    <t>Triturus cristatus</t>
  </si>
  <si>
    <t>Knoflookpad</t>
  </si>
  <si>
    <t>Pelobates fuscus</t>
  </si>
  <si>
    <t>Poelkikker</t>
  </si>
  <si>
    <t>Pelophylax lessonae</t>
  </si>
  <si>
    <t>Rugstreeppad</t>
  </si>
  <si>
    <t>Epidalea calamita</t>
  </si>
  <si>
    <t>Vroedmeesterpad</t>
  </si>
  <si>
    <t>Alytes obstetricans</t>
  </si>
  <si>
    <t>Bladmossen</t>
  </si>
  <si>
    <t>Geel schorpioenmos</t>
  </si>
  <si>
    <t>Hamatocaulis vernicosus (Mitt.) Hedenäs</t>
  </si>
  <si>
    <t>II</t>
  </si>
  <si>
    <t>Kussentjesmos</t>
  </si>
  <si>
    <t>Leucobryum glaucum (Hedw.) Ångstr.</t>
  </si>
  <si>
    <t>Dagvlinders</t>
  </si>
  <si>
    <t>Moerasparelmoervlinder</t>
  </si>
  <si>
    <t>Euphydryas aurinia</t>
  </si>
  <si>
    <t>Korstmossen</t>
  </si>
  <si>
    <t>Rendiermossen</t>
  </si>
  <si>
    <t>Cladonia subsp. Cladina</t>
  </si>
  <si>
    <t>Libellen</t>
  </si>
  <si>
    <t>Gaffellibel</t>
  </si>
  <si>
    <t>Ophiogomphus cecilia</t>
  </si>
  <si>
    <t>Gevlekte witsnuitlibel</t>
  </si>
  <si>
    <t>Leucorrhinia pectoralis</t>
  </si>
  <si>
    <t>Rivierrombout</t>
  </si>
  <si>
    <t>Stylurus flavipes</t>
  </si>
  <si>
    <t>Sierlijke witsnuitlibel</t>
  </si>
  <si>
    <t>Leucorrhinia caudalis</t>
  </si>
  <si>
    <t>Mollusken</t>
  </si>
  <si>
    <t>Bataafse stroommossel</t>
  </si>
  <si>
    <t>Unio crassus</t>
  </si>
  <si>
    <t>Nauwe korfslak</t>
  </si>
  <si>
    <t>Vertigo angustior</t>
  </si>
  <si>
    <t>Platte schijfhoren</t>
  </si>
  <si>
    <t>Anisus (Disculifer) vorticulus</t>
  </si>
  <si>
    <t>Wijngaardslak</t>
  </si>
  <si>
    <t>Helix pomatia</t>
  </si>
  <si>
    <t>Zeggekorfslak</t>
  </si>
  <si>
    <t>Vertigo moulinsiana</t>
  </si>
  <si>
    <t>Mossen</t>
  </si>
  <si>
    <t>Veenmossen</t>
  </si>
  <si>
    <t>Sphagnum spp.</t>
  </si>
  <si>
    <t>Nachtvlinders</t>
  </si>
  <si>
    <t>Spaanse vlag</t>
  </si>
  <si>
    <t>Euplagia quadripunctaria</t>
  </si>
  <si>
    <t>Teunisbloempijlstaart</t>
  </si>
  <si>
    <t>Proserpinus proserpina</t>
  </si>
  <si>
    <t>Reptielen</t>
  </si>
  <si>
    <t>Gladde slang</t>
  </si>
  <si>
    <t>Coronella austriaca</t>
  </si>
  <si>
    <t>Muurhagedis</t>
  </si>
  <si>
    <t>Podarcis muralis</t>
  </si>
  <si>
    <t>Saproxyle kevers</t>
  </si>
  <si>
    <t>Juchtleerkever</t>
  </si>
  <si>
    <t>Osmoderma eremita</t>
  </si>
  <si>
    <t>Vermiljoenkever</t>
  </si>
  <si>
    <t>Cucujus cinnaberinus</t>
  </si>
  <si>
    <t>Vliegend hert</t>
  </si>
  <si>
    <t>Lucanus cervus</t>
  </si>
  <si>
    <t>Vaatplanten</t>
  </si>
  <si>
    <t>Drijvende waterweegbree</t>
  </si>
  <si>
    <t>Luronium natans (L.) Rafin.</t>
  </si>
  <si>
    <t>Groenknolorchis</t>
  </si>
  <si>
    <t>Liparis loeselii (L.) L.C.M. Rich.</t>
  </si>
  <si>
    <t>Kruipend moerasscherm</t>
  </si>
  <si>
    <t>Apium repens (Jacq.) Lag.</t>
  </si>
  <si>
    <t>Wolfsklauwen</t>
  </si>
  <si>
    <t>Lycopodiaceae spp.</t>
  </si>
  <si>
    <t>Vissen</t>
  </si>
  <si>
    <t>Atlantische steur</t>
  </si>
  <si>
    <t>Acipenser sturio</t>
  </si>
  <si>
    <t>Atlantische zalm</t>
  </si>
  <si>
    <t>Salmo salar</t>
  </si>
  <si>
    <t>II+V</t>
  </si>
  <si>
    <t>Barbeel</t>
  </si>
  <si>
    <t>Barbus barbus</t>
  </si>
  <si>
    <t>Beekprik</t>
  </si>
  <si>
    <t>Lampetra planeri</t>
  </si>
  <si>
    <t>Bittervoorn</t>
  </si>
  <si>
    <t>Rhodeus amarus</t>
  </si>
  <si>
    <t>donderpad</t>
  </si>
  <si>
    <t>Cottus perifretum/rhenanus</t>
  </si>
  <si>
    <t>Elft</t>
  </si>
  <si>
    <t>Alosa alosa</t>
  </si>
  <si>
    <t>Fint</t>
  </si>
  <si>
    <t>Alosa fallax</t>
  </si>
  <si>
    <t>Grote modderkruiper</t>
  </si>
  <si>
    <t>Misgurnus fossilis</t>
  </si>
  <si>
    <t>Kleine modderkruiper</t>
  </si>
  <si>
    <t>Cobitis taenia</t>
  </si>
  <si>
    <t>Paling</t>
  </si>
  <si>
    <t>Anguilla anguilla</t>
  </si>
  <si>
    <t>Palingverordening</t>
  </si>
  <si>
    <t>Rivierprik</t>
  </si>
  <si>
    <t>Lampetra fluviatilis</t>
  </si>
  <si>
    <t>Vlagzalm</t>
  </si>
  <si>
    <t>Thymallus thymallus</t>
  </si>
  <si>
    <t>Zoogdieren</t>
  </si>
  <si>
    <t>Boommarter</t>
  </si>
  <si>
    <t>Martes martes</t>
  </si>
  <si>
    <t>Bunzing</t>
  </si>
  <si>
    <t>Mustela putorius</t>
  </si>
  <si>
    <t>Euraziatische lynx</t>
  </si>
  <si>
    <t>Lynx lynx</t>
  </si>
  <si>
    <t>Europese bever</t>
  </si>
  <si>
    <t>Castor fiber</t>
  </si>
  <si>
    <t>Europese hamster</t>
  </si>
  <si>
    <t>Cricetus cricetus</t>
  </si>
  <si>
    <t>Europese otter</t>
  </si>
  <si>
    <t>Lutra lutra</t>
  </si>
  <si>
    <t>Gewone bruinvis</t>
  </si>
  <si>
    <t>Phocoena phocoena</t>
  </si>
  <si>
    <t>Gewone zeehond</t>
  </si>
  <si>
    <t>Phoca vitulina</t>
  </si>
  <si>
    <t>Grijze zeehond</t>
  </si>
  <si>
    <t>Halichoerus grypus</t>
  </si>
  <si>
    <t>Hazelmuis</t>
  </si>
  <si>
    <t>Muscardinus avellanarius</t>
  </si>
  <si>
    <t>Wilde kat</t>
  </si>
  <si>
    <t>Felis silvestris</t>
  </si>
  <si>
    <t>Wolf</t>
  </si>
  <si>
    <t>Canis lupus</t>
  </si>
  <si>
    <t>Zoogdieren_Vleermuizen</t>
  </si>
  <si>
    <t>Baardvleermuis</t>
  </si>
  <si>
    <t>Myotis mystacinus</t>
  </si>
  <si>
    <t>Bechsteins vleermuis</t>
  </si>
  <si>
    <t>Myotis bechsteinii</t>
  </si>
  <si>
    <t>Bosvleermuis</t>
  </si>
  <si>
    <t>Nyctalus leisleri</t>
  </si>
  <si>
    <t>Brandts vleermuis</t>
  </si>
  <si>
    <t>Myotis brandtii</t>
  </si>
  <si>
    <t>Franjestaart</t>
  </si>
  <si>
    <t>Myotis nattereri</t>
  </si>
  <si>
    <t>Gewone dwergvleermuis</t>
  </si>
  <si>
    <t>Pipistrellus pipistrellus</t>
  </si>
  <si>
    <t>Gewone grootoorvleermuis</t>
  </si>
  <si>
    <t>Plecotus auritus</t>
  </si>
  <si>
    <t>Grijze grootoorvleermuis</t>
  </si>
  <si>
    <t>Plecotus austriacus</t>
  </si>
  <si>
    <t>Grote hoefijzerneus</t>
  </si>
  <si>
    <t>Rhinolophus ferrumequinum</t>
  </si>
  <si>
    <t>Ingekorven vleermuis</t>
  </si>
  <si>
    <t>Myotis emarginatus</t>
  </si>
  <si>
    <t>Kleine dwergvleermuis</t>
  </si>
  <si>
    <t>Pipistrellus pygmaeus</t>
  </si>
  <si>
    <t>Kleine hoefijzerneus</t>
  </si>
  <si>
    <t>Rhinolophus hipposideros</t>
  </si>
  <si>
    <t>Laatvlieger</t>
  </si>
  <si>
    <t>Eptesicus serotinus</t>
  </si>
  <si>
    <t>Meervleermuis</t>
  </si>
  <si>
    <t>Myotis dasycneme</t>
  </si>
  <si>
    <t>Mopsvleermuis</t>
  </si>
  <si>
    <t>Barbastella barbastellus</t>
  </si>
  <si>
    <t>Rosse vleermuis</t>
  </si>
  <si>
    <t>Nyctalus noctula</t>
  </si>
  <si>
    <t>Ruige dwergvleermuis</t>
  </si>
  <si>
    <t>Pipistrellus nathusii</t>
  </si>
  <si>
    <t>Tweekleurige vleermuis</t>
  </si>
  <si>
    <t>Vespertilio murinus</t>
  </si>
  <si>
    <t>Vale vleermuis</t>
  </si>
  <si>
    <t>Myotis myotis</t>
  </si>
  <si>
    <t>Watervleermuis</t>
  </si>
  <si>
    <t>Myotis daubentonii</t>
  </si>
  <si>
    <t>Criterium</t>
  </si>
  <si>
    <t>Informatie</t>
  </si>
  <si>
    <t>Europees belang</t>
  </si>
  <si>
    <t>Rode lijst</t>
  </si>
  <si>
    <t>Habitattypische soorten</t>
  </si>
  <si>
    <t>IHD doelen</t>
  </si>
  <si>
    <t>bestaand soortenmeetnet</t>
  </si>
  <si>
    <t>bestaand &gt;&gt; niet bestaand</t>
  </si>
  <si>
    <t>met IHD-doelen &gt; zonder IHD doelen</t>
  </si>
  <si>
    <t>habitattypische soort annex 1-habitat &gt; habitattypische soort &gt; niet-habitattypes soorten</t>
  </si>
  <si>
    <t>uitgestorven soorten vallen weg: ernstig bedreigd &gt; bedreigd &gt; kwetsbaar &gt; gevoelig &gt; niet bedreigd</t>
  </si>
  <si>
    <t>Habitatrichtlijn Bijlage II &gt;  Habitatrichtlijn bijlage IV (behalve wanneer invasief) &gt; Habitatrichtlijn geen bijlage; Vogelrichtlijn bijlage I &gt; Vogelrichtlijn niet-bijlage I; Habitatrichtlijn Bijlage IV = Vogelrichtlijn I; Habitatrichtlijn geen bijlage &lt; vogelrichtlijn geen bijlage I want alle broedvogels, doortrekkers en overwinterende watervogels zijn beschermd</t>
  </si>
  <si>
    <t>INBOdb package</t>
  </si>
  <si>
    <t>Opvragen data</t>
  </si>
  <si>
    <t>HRL -&gt; INBOdb package</t>
  </si>
  <si>
    <t>?</t>
  </si>
  <si>
    <t>wetgeving</t>
  </si>
  <si>
    <t>annex</t>
  </si>
  <si>
    <t>meetnet</t>
  </si>
  <si>
    <t>Er kan meer dan 1 type meetnet bestaan voor een soort (bvb een traditioneel vs een eDNA meetnet). We gaan er van uit dat de scores voor de criteria (behalve "bestaand meetnet") identiek zijn. De kosten kunnen wel verschillen.</t>
  </si>
  <si>
    <t>bestaand</t>
  </si>
  <si>
    <t>FALSE</t>
  </si>
  <si>
    <t>TRUE</t>
  </si>
  <si>
    <t>Boomkikker_trad</t>
  </si>
  <si>
    <t>Boomkikker_eDNA</t>
  </si>
  <si>
    <t>Bruine kikker_trad</t>
  </si>
  <si>
    <t>Bruine kikker_eDNA</t>
  </si>
  <si>
    <t>Poelkikker_trad</t>
  </si>
  <si>
    <t>Poelkikker_eDNA</t>
  </si>
  <si>
    <t>traditioneel</t>
  </si>
  <si>
    <t>eDNA</t>
  </si>
  <si>
    <t>type_meeetnet</t>
  </si>
  <si>
    <t>HRLIV</t>
  </si>
  <si>
    <t>HRLII</t>
  </si>
  <si>
    <t>Ernstig bedreigd</t>
  </si>
  <si>
    <t>Kwetsbaar</t>
  </si>
  <si>
    <t>Bedreigd</t>
  </si>
  <si>
    <t>VRLI</t>
  </si>
  <si>
    <t>VRL0</t>
  </si>
  <si>
    <t>type_meetnet</t>
  </si>
  <si>
    <t>IHD</t>
  </si>
  <si>
    <t>HTS</t>
  </si>
  <si>
    <t>groep</t>
  </si>
  <si>
    <t>Meeuwen</t>
  </si>
  <si>
    <t>Padden</t>
  </si>
  <si>
    <t>type meetnet</t>
  </si>
  <si>
    <t>Geef aan welke soortengroepen er bestaan die synergieën hebben bij monitoring (meestal geografische en temporele overlap nodig). Meestal is er dan een vaste kost (groepkost) van monitoring voor de groep en een additionele kost voor iedere individuele soort binnen die groep die je monitort (indiv_kost). Bij voorkeur zit ieder meetnet slechts in 1 groep. Geef met een kleur aan wanneer een meetnet in meerdere groepen voorkomt.</t>
  </si>
  <si>
    <t>Vleermuizen</t>
  </si>
  <si>
    <t>Padden_edna</t>
  </si>
  <si>
    <t>Rugstreeppad_trad</t>
  </si>
  <si>
    <t>Rugstreeppad_eDNA</t>
  </si>
  <si>
    <t>Knoflookpad_trad</t>
  </si>
  <si>
    <t>Knoflookpad_eDNA</t>
  </si>
  <si>
    <t>Vroedmeesterpad_eDNA</t>
  </si>
  <si>
    <t>Vroedmeesterpad_trad</t>
  </si>
  <si>
    <t>Criterium_code</t>
  </si>
  <si>
    <t>EB</t>
  </si>
  <si>
    <t>RL</t>
  </si>
  <si>
    <t>criterium_code</t>
  </si>
  <si>
    <t>criterium</t>
  </si>
  <si>
    <t>belang</t>
  </si>
  <si>
    <t>Rode lijst status</t>
  </si>
  <si>
    <t>Andere</t>
  </si>
  <si>
    <t>NA</t>
  </si>
  <si>
    <t>kost_indiv</t>
  </si>
  <si>
    <t>kost_groep</t>
  </si>
  <si>
    <t>kost_addit</t>
  </si>
  <si>
    <t>Broedvogels&amp; Overwinterende watervogels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</si>
</sst>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thin">
        <color indexed="64"/>
      </top>
      <bottom/>
      <diagonal/>
    </border>
  </borders>
  <cellStyleXfs count="1">
    <xf numFmtId="0" fontId="0" fillId="0" borderId="0"/>
  </cellStyleXfs>
  <cellXfs count="17">
    <xf numFmtId="0" fontId="0" fillId="0" borderId="0" xfId="0"/>
    <xf numFmtId="0" fontId="0" fillId="2" borderId="0" xfId="0" applyFill="1"/>
    <xf numFmtId="0" fontId="0" fillId="0" borderId="0" xfId="0" applyAlignment="1">
      <alignment wrapText="1"/>
    </xf>
    <xf numFmtId="0" fontId="0" fillId="2" borderId="0" xfId="0" applyFill="1" applyAlignment="1">
      <alignment wrapText="1"/>
    </xf>
    <xf numFmtId="0" fontId="0" fillId="0" borderId="0" xfId="0" applyAlignment="1">
      <alignment horizontal="center" wrapText="1"/>
    </xf>
    <xf numFmtId="0" fontId="0" fillId="3"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Alignment="1">
      <alignment horizontal="center"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3174</xdr:colOff>
      <xdr:row>0</xdr:row>
      <xdr:rowOff>0</xdr:rowOff>
    </xdr:from>
    <xdr:to>
      <xdr:col>20</xdr:col>
      <xdr:colOff>31749</xdr:colOff>
      <xdr:row>24</xdr:row>
      <xdr:rowOff>30931</xdr:rowOff>
    </xdr:to>
    <xdr:pic>
      <xdr:nvPicPr>
        <xdr:cNvPr id="2" name="Afbeelding 1" descr="What is the Analytical Hierarchy Process? And How Does it Work?">
          <a:extLst>
            <a:ext uri="{FF2B5EF4-FFF2-40B4-BE49-F238E27FC236}">
              <a16:creationId xmlns:a16="http://schemas.microsoft.com/office/drawing/2014/main" id="{8E9CDEB4-15D6-8F26-ABF3-C3E30EDEA1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2274" y="0"/>
          <a:ext cx="5511800" cy="4441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raïsa carmen" id="{3F3CAEE3-CEDE-4445-89F5-03C4C634CCF4}" userId="730aaf522b44495a"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6-04-30T07:38:33.34" personId="{3F3CAEE3-CEDE-4445-89F5-03C4C634CCF4}" id="{48A3A663-FBE1-447B-83CA-E48B1525563B}">
    <text>Is dit een bestaand meetnet (TRUE) of niet (FALSE)</text>
  </threadedComment>
  <threadedComment ref="F2" dT="2026-07-07T19:02:57.36" personId="{3F3CAEE3-CEDE-4445-89F5-03C4C634CCF4}" id="{E0BAB0C1-B8C1-4758-BE6B-779CD7130A9F}">
    <text>Kosten om het meetnet als individueel meetnet uit te voeren. 
Indien het meetnet bij een meetnetgroep hoort, staat dit in het tabblad “monitoringgroepen” met bijhorende kosten.</text>
  </threadedComment>
  <threadedComment ref="F3" dT="2026-07-07T19:10:12.84" personId="{3F3CAEE3-CEDE-4445-89F5-03C4C634CCF4}" id="{2354F50B-DB50-45AB-A228-54E9B713D134}">
    <text>Dit zijn random waarden getrokken tussen 1 en 20</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6-07-07T19:07:04.75" personId="{3F3CAEE3-CEDE-4445-89F5-03C4C634CCF4}" id="{63C68B28-0DC5-4207-8F8E-8923CC69164F}">
    <text xml:space="preserve">Een “vaste kost” om de meetnetgroep te activeren. Deze kost wordt slechts één keer geteld, ongeacht hoeveel meetnetten er binnen de monitoringsgroep worden geselecteerd.
</text>
  </threadedComment>
  <threadedComment ref="E2" dT="2026-07-07T19:05:12.43" personId="{3F3CAEE3-CEDE-4445-89F5-03C4C634CCF4}" id="{57D3830C-9F34-4DF8-84D6-D7DE4DE1931C}">
    <text xml:space="preserve">Additionele kost, bovenop de groepskost indien dit meetnet wordt opgenomen.
</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0"/>
  <sheetViews>
    <sheetView topLeftCell="A5" workbookViewId="0">
      <selection activeCell="A14" sqref="A14"/>
    </sheetView>
  </sheetViews>
  <sheetFormatPr defaultRowHeight="14.5" x14ac:dyDescent="0.35"/>
  <cols>
    <col min="1" max="5" width="14.90625" customWidth="1"/>
  </cols>
  <sheetData>
    <row r="1" spans="1:5" x14ac:dyDescent="0.35">
      <c r="A1" s="1" t="s">
        <v>0</v>
      </c>
      <c r="B1" s="1" t="s">
        <v>1</v>
      </c>
      <c r="C1" s="1" t="s">
        <v>2</v>
      </c>
      <c r="D1" s="1" t="s">
        <v>322</v>
      </c>
      <c r="E1" s="1" t="s">
        <v>323</v>
      </c>
    </row>
    <row r="2" spans="1:5" x14ac:dyDescent="0.35">
      <c r="A2" t="s">
        <v>3</v>
      </c>
      <c r="B2" t="s">
        <v>4</v>
      </c>
      <c r="C2" t="s">
        <v>5</v>
      </c>
      <c r="D2" t="s">
        <v>6</v>
      </c>
      <c r="E2" t="s">
        <v>7</v>
      </c>
    </row>
    <row r="3" spans="1:5" x14ac:dyDescent="0.35">
      <c r="A3" t="s">
        <v>3</v>
      </c>
      <c r="B3" t="s">
        <v>8</v>
      </c>
      <c r="C3" t="s">
        <v>9</v>
      </c>
      <c r="D3" t="s">
        <v>6</v>
      </c>
      <c r="E3" t="s">
        <v>7</v>
      </c>
    </row>
    <row r="4" spans="1:5" x14ac:dyDescent="0.35">
      <c r="A4" t="s">
        <v>3</v>
      </c>
      <c r="B4" t="s">
        <v>10</v>
      </c>
      <c r="C4" t="s">
        <v>11</v>
      </c>
      <c r="D4" t="s">
        <v>6</v>
      </c>
      <c r="E4" t="s">
        <v>7</v>
      </c>
    </row>
    <row r="5" spans="1:5" x14ac:dyDescent="0.35">
      <c r="A5" t="s">
        <v>3</v>
      </c>
      <c r="B5" t="s">
        <v>12</v>
      </c>
      <c r="C5" t="s">
        <v>13</v>
      </c>
      <c r="D5" t="s">
        <v>6</v>
      </c>
      <c r="E5" t="s">
        <v>7</v>
      </c>
    </row>
    <row r="6" spans="1:5" x14ac:dyDescent="0.35">
      <c r="A6" t="s">
        <v>3</v>
      </c>
      <c r="B6" t="s">
        <v>14</v>
      </c>
      <c r="C6" t="s">
        <v>15</v>
      </c>
      <c r="D6" t="s">
        <v>6</v>
      </c>
      <c r="E6" t="s">
        <v>7</v>
      </c>
    </row>
    <row r="7" spans="1:5" x14ac:dyDescent="0.35">
      <c r="A7" t="s">
        <v>3</v>
      </c>
      <c r="B7" t="s">
        <v>16</v>
      </c>
      <c r="C7" t="s">
        <v>17</v>
      </c>
      <c r="D7" t="s">
        <v>6</v>
      </c>
      <c r="E7" t="s">
        <v>7</v>
      </c>
    </row>
    <row r="8" spans="1:5" x14ac:dyDescent="0.35">
      <c r="A8" t="s">
        <v>3</v>
      </c>
      <c r="B8" t="s">
        <v>18</v>
      </c>
      <c r="C8" t="s">
        <v>19</v>
      </c>
      <c r="D8" t="s">
        <v>6</v>
      </c>
      <c r="E8" t="s">
        <v>7</v>
      </c>
    </row>
    <row r="9" spans="1:5" x14ac:dyDescent="0.35">
      <c r="A9" t="s">
        <v>3</v>
      </c>
      <c r="B9" t="s">
        <v>20</v>
      </c>
      <c r="C9" t="s">
        <v>21</v>
      </c>
      <c r="D9" t="s">
        <v>6</v>
      </c>
      <c r="E9" t="s">
        <v>7</v>
      </c>
    </row>
    <row r="10" spans="1:5" x14ac:dyDescent="0.35">
      <c r="A10" t="s">
        <v>3</v>
      </c>
      <c r="B10" t="s">
        <v>22</v>
      </c>
      <c r="C10" t="s">
        <v>23</v>
      </c>
      <c r="D10" t="s">
        <v>6</v>
      </c>
      <c r="E10" t="s">
        <v>7</v>
      </c>
    </row>
    <row r="11" spans="1:5" x14ac:dyDescent="0.35">
      <c r="A11" t="s">
        <v>3</v>
      </c>
      <c r="B11" t="s">
        <v>24</v>
      </c>
      <c r="C11" t="s">
        <v>25</v>
      </c>
      <c r="D11" t="s">
        <v>6</v>
      </c>
      <c r="E11" t="s">
        <v>7</v>
      </c>
    </row>
    <row r="12" spans="1:5" x14ac:dyDescent="0.35">
      <c r="A12" t="s">
        <v>3</v>
      </c>
      <c r="B12" t="s">
        <v>26</v>
      </c>
      <c r="C12" t="s">
        <v>27</v>
      </c>
      <c r="D12" t="s">
        <v>6</v>
      </c>
      <c r="E12" t="s">
        <v>7</v>
      </c>
    </row>
    <row r="13" spans="1:5" x14ac:dyDescent="0.35">
      <c r="A13" t="s">
        <v>373</v>
      </c>
      <c r="B13" t="s">
        <v>28</v>
      </c>
      <c r="C13" t="s">
        <v>29</v>
      </c>
      <c r="D13" t="s">
        <v>6</v>
      </c>
      <c r="E13" t="s">
        <v>7</v>
      </c>
    </row>
    <row r="14" spans="1:5" x14ac:dyDescent="0.35">
      <c r="A14" t="s">
        <v>3</v>
      </c>
      <c r="B14" t="s">
        <v>30</v>
      </c>
      <c r="C14" t="s">
        <v>31</v>
      </c>
      <c r="D14" t="s">
        <v>6</v>
      </c>
      <c r="E14" t="s">
        <v>7</v>
      </c>
    </row>
    <row r="15" spans="1:5" x14ac:dyDescent="0.35">
      <c r="A15" t="s">
        <v>3</v>
      </c>
      <c r="B15" t="s">
        <v>32</v>
      </c>
      <c r="C15" t="s">
        <v>33</v>
      </c>
      <c r="D15" t="s">
        <v>6</v>
      </c>
      <c r="E15" t="s">
        <v>7</v>
      </c>
    </row>
    <row r="16" spans="1:5" x14ac:dyDescent="0.35">
      <c r="A16" t="s">
        <v>3</v>
      </c>
      <c r="B16" t="s">
        <v>34</v>
      </c>
      <c r="C16" t="s">
        <v>35</v>
      </c>
      <c r="D16" t="s">
        <v>6</v>
      </c>
      <c r="E16" t="s">
        <v>7</v>
      </c>
    </row>
    <row r="17" spans="1:5" x14ac:dyDescent="0.35">
      <c r="A17" t="s">
        <v>3</v>
      </c>
      <c r="B17" t="s">
        <v>36</v>
      </c>
      <c r="C17" t="s">
        <v>37</v>
      </c>
      <c r="D17" t="s">
        <v>6</v>
      </c>
      <c r="E17" t="s">
        <v>7</v>
      </c>
    </row>
    <row r="18" spans="1:5" x14ac:dyDescent="0.35">
      <c r="A18" t="s">
        <v>3</v>
      </c>
      <c r="B18" t="s">
        <v>38</v>
      </c>
      <c r="C18" t="s">
        <v>39</v>
      </c>
      <c r="D18" t="s">
        <v>6</v>
      </c>
      <c r="E18" t="s">
        <v>7</v>
      </c>
    </row>
    <row r="19" spans="1:5" x14ac:dyDescent="0.35">
      <c r="A19" t="s">
        <v>3</v>
      </c>
      <c r="B19" t="s">
        <v>40</v>
      </c>
      <c r="C19" t="s">
        <v>41</v>
      </c>
      <c r="D19" t="s">
        <v>6</v>
      </c>
      <c r="E19" t="s">
        <v>7</v>
      </c>
    </row>
    <row r="20" spans="1:5" x14ac:dyDescent="0.35">
      <c r="A20" t="s">
        <v>3</v>
      </c>
      <c r="B20" t="s">
        <v>42</v>
      </c>
      <c r="C20" t="s">
        <v>43</v>
      </c>
      <c r="D20" t="s">
        <v>6</v>
      </c>
      <c r="E20" t="s">
        <v>7</v>
      </c>
    </row>
    <row r="21" spans="1:5" x14ac:dyDescent="0.35">
      <c r="A21" t="s">
        <v>3</v>
      </c>
      <c r="B21" t="s">
        <v>44</v>
      </c>
      <c r="C21" t="s">
        <v>45</v>
      </c>
      <c r="D21" t="s">
        <v>6</v>
      </c>
      <c r="E21" t="s">
        <v>7</v>
      </c>
    </row>
    <row r="22" spans="1:5" x14ac:dyDescent="0.35">
      <c r="A22" t="s">
        <v>3</v>
      </c>
      <c r="B22" t="s">
        <v>46</v>
      </c>
      <c r="C22" t="s">
        <v>47</v>
      </c>
      <c r="D22" t="s">
        <v>6</v>
      </c>
      <c r="E22" t="s">
        <v>7</v>
      </c>
    </row>
    <row r="23" spans="1:5" x14ac:dyDescent="0.35">
      <c r="A23" t="s">
        <v>3</v>
      </c>
      <c r="B23" t="s">
        <v>48</v>
      </c>
      <c r="C23" t="s">
        <v>49</v>
      </c>
      <c r="D23" t="s">
        <v>6</v>
      </c>
      <c r="E23" t="s">
        <v>7</v>
      </c>
    </row>
    <row r="24" spans="1:5" x14ac:dyDescent="0.35">
      <c r="A24" t="s">
        <v>3</v>
      </c>
      <c r="B24" t="s">
        <v>50</v>
      </c>
      <c r="C24" t="s">
        <v>51</v>
      </c>
      <c r="D24" t="s">
        <v>6</v>
      </c>
      <c r="E24" t="s">
        <v>7</v>
      </c>
    </row>
    <row r="25" spans="1:5" x14ac:dyDescent="0.35">
      <c r="A25" t="s">
        <v>3</v>
      </c>
      <c r="B25" t="s">
        <v>52</v>
      </c>
      <c r="C25" t="s">
        <v>53</v>
      </c>
      <c r="D25" t="s">
        <v>6</v>
      </c>
      <c r="E25" t="s">
        <v>7</v>
      </c>
    </row>
    <row r="26" spans="1:5" x14ac:dyDescent="0.35">
      <c r="A26" t="s">
        <v>3</v>
      </c>
      <c r="B26" t="s">
        <v>54</v>
      </c>
      <c r="C26" t="s">
        <v>55</v>
      </c>
      <c r="D26" t="s">
        <v>6</v>
      </c>
      <c r="E26" t="s">
        <v>7</v>
      </c>
    </row>
    <row r="27" spans="1:5" x14ac:dyDescent="0.35">
      <c r="A27" t="s">
        <v>3</v>
      </c>
      <c r="B27" t="s">
        <v>56</v>
      </c>
      <c r="C27" t="s">
        <v>57</v>
      </c>
      <c r="D27" t="s">
        <v>6</v>
      </c>
      <c r="E27" t="s">
        <v>7</v>
      </c>
    </row>
    <row r="28" spans="1:5" x14ac:dyDescent="0.35">
      <c r="A28" t="s">
        <v>3</v>
      </c>
      <c r="B28" t="s">
        <v>58</v>
      </c>
      <c r="C28" t="s">
        <v>59</v>
      </c>
      <c r="D28" t="s">
        <v>6</v>
      </c>
      <c r="E28" t="s">
        <v>7</v>
      </c>
    </row>
    <row r="29" spans="1:5" x14ac:dyDescent="0.35">
      <c r="A29" t="s">
        <v>3</v>
      </c>
      <c r="B29" t="s">
        <v>60</v>
      </c>
      <c r="C29" t="s">
        <v>61</v>
      </c>
      <c r="D29" t="s">
        <v>6</v>
      </c>
      <c r="E29" t="s">
        <v>7</v>
      </c>
    </row>
    <row r="30" spans="1:5" x14ac:dyDescent="0.35">
      <c r="A30" t="s">
        <v>3</v>
      </c>
      <c r="B30" t="s">
        <v>62</v>
      </c>
      <c r="C30" t="s">
        <v>63</v>
      </c>
      <c r="D30" t="s">
        <v>6</v>
      </c>
      <c r="E30" t="s">
        <v>7</v>
      </c>
    </row>
    <row r="31" spans="1:5" x14ac:dyDescent="0.35">
      <c r="A31" t="s">
        <v>3</v>
      </c>
      <c r="B31" t="s">
        <v>64</v>
      </c>
      <c r="C31" t="s">
        <v>65</v>
      </c>
      <c r="D31" t="s">
        <v>6</v>
      </c>
      <c r="E31" t="s">
        <v>7</v>
      </c>
    </row>
    <row r="32" spans="1:5" x14ac:dyDescent="0.35">
      <c r="A32" t="s">
        <v>3</v>
      </c>
      <c r="B32" t="s">
        <v>66</v>
      </c>
      <c r="C32" t="s">
        <v>67</v>
      </c>
      <c r="D32" t="s">
        <v>6</v>
      </c>
      <c r="E32" t="s">
        <v>7</v>
      </c>
    </row>
    <row r="33" spans="1:5" x14ac:dyDescent="0.35">
      <c r="A33" t="s">
        <v>3</v>
      </c>
      <c r="B33" t="s">
        <v>68</v>
      </c>
      <c r="C33" t="s">
        <v>69</v>
      </c>
      <c r="D33" t="s">
        <v>6</v>
      </c>
      <c r="E33" t="s">
        <v>7</v>
      </c>
    </row>
    <row r="34" spans="1:5" x14ac:dyDescent="0.35">
      <c r="A34" t="s">
        <v>3</v>
      </c>
      <c r="B34" t="s">
        <v>70</v>
      </c>
      <c r="C34" t="s">
        <v>71</v>
      </c>
      <c r="D34" t="s">
        <v>6</v>
      </c>
      <c r="E34" t="s">
        <v>7</v>
      </c>
    </row>
    <row r="35" spans="1:5" x14ac:dyDescent="0.35">
      <c r="A35" t="s">
        <v>3</v>
      </c>
      <c r="B35" t="s">
        <v>72</v>
      </c>
      <c r="C35" t="s">
        <v>73</v>
      </c>
      <c r="D35" t="s">
        <v>6</v>
      </c>
      <c r="E35" t="s">
        <v>7</v>
      </c>
    </row>
    <row r="36" spans="1:5" x14ac:dyDescent="0.35">
      <c r="A36" t="s">
        <v>3</v>
      </c>
      <c r="B36" t="s">
        <v>74</v>
      </c>
      <c r="C36" t="s">
        <v>75</v>
      </c>
      <c r="D36" t="s">
        <v>6</v>
      </c>
      <c r="E36" t="s">
        <v>7</v>
      </c>
    </row>
    <row r="37" spans="1:5" x14ac:dyDescent="0.35">
      <c r="A37" t="s">
        <v>3</v>
      </c>
      <c r="B37" t="s">
        <v>76</v>
      </c>
      <c r="C37" t="s">
        <v>77</v>
      </c>
      <c r="D37" t="s">
        <v>6</v>
      </c>
      <c r="E37" t="s">
        <v>7</v>
      </c>
    </row>
    <row r="38" spans="1:5" x14ac:dyDescent="0.35">
      <c r="A38" t="s">
        <v>3</v>
      </c>
      <c r="B38" t="s">
        <v>78</v>
      </c>
      <c r="C38" t="s">
        <v>79</v>
      </c>
      <c r="D38" t="s">
        <v>6</v>
      </c>
      <c r="E38" t="s">
        <v>7</v>
      </c>
    </row>
    <row r="39" spans="1:5" x14ac:dyDescent="0.35">
      <c r="A39" t="s">
        <v>80</v>
      </c>
      <c r="B39" t="s">
        <v>81</v>
      </c>
      <c r="C39" t="s">
        <v>82</v>
      </c>
      <c r="D39" t="s">
        <v>6</v>
      </c>
      <c r="E39" t="s">
        <v>7</v>
      </c>
    </row>
    <row r="40" spans="1:5" x14ac:dyDescent="0.35">
      <c r="A40" t="s">
        <v>80</v>
      </c>
      <c r="B40" t="s">
        <v>83</v>
      </c>
      <c r="C40" t="s">
        <v>84</v>
      </c>
      <c r="D40" t="s">
        <v>6</v>
      </c>
      <c r="E40" t="s">
        <v>7</v>
      </c>
    </row>
    <row r="41" spans="1:5" x14ac:dyDescent="0.35">
      <c r="A41" t="s">
        <v>80</v>
      </c>
      <c r="B41" t="s">
        <v>85</v>
      </c>
      <c r="C41" t="s">
        <v>86</v>
      </c>
      <c r="D41" t="s">
        <v>6</v>
      </c>
      <c r="E41" t="s">
        <v>7</v>
      </c>
    </row>
    <row r="42" spans="1:5" x14ac:dyDescent="0.35">
      <c r="A42" t="s">
        <v>80</v>
      </c>
      <c r="B42" t="s">
        <v>87</v>
      </c>
      <c r="C42" t="s">
        <v>88</v>
      </c>
      <c r="D42" t="s">
        <v>6</v>
      </c>
      <c r="E42" t="s">
        <v>7</v>
      </c>
    </row>
    <row r="43" spans="1:5" x14ac:dyDescent="0.35">
      <c r="A43" t="s">
        <v>80</v>
      </c>
      <c r="B43" t="s">
        <v>89</v>
      </c>
      <c r="C43" t="s">
        <v>90</v>
      </c>
      <c r="D43" t="s">
        <v>6</v>
      </c>
      <c r="E43" t="s">
        <v>7</v>
      </c>
    </row>
    <row r="44" spans="1:5" x14ac:dyDescent="0.35">
      <c r="A44" t="s">
        <v>80</v>
      </c>
      <c r="B44" t="s">
        <v>91</v>
      </c>
      <c r="C44" t="s">
        <v>92</v>
      </c>
      <c r="D44" t="s">
        <v>6</v>
      </c>
      <c r="E44" t="s">
        <v>7</v>
      </c>
    </row>
    <row r="45" spans="1:5" x14ac:dyDescent="0.35">
      <c r="A45" t="s">
        <v>80</v>
      </c>
      <c r="B45" t="s">
        <v>93</v>
      </c>
      <c r="C45" t="s">
        <v>94</v>
      </c>
      <c r="D45" t="s">
        <v>6</v>
      </c>
      <c r="E45" t="s">
        <v>7</v>
      </c>
    </row>
    <row r="46" spans="1:5" x14ac:dyDescent="0.35">
      <c r="A46" t="s">
        <v>80</v>
      </c>
      <c r="B46" t="s">
        <v>95</v>
      </c>
      <c r="C46" t="s">
        <v>96</v>
      </c>
      <c r="D46" t="s">
        <v>6</v>
      </c>
      <c r="E46" t="s">
        <v>7</v>
      </c>
    </row>
    <row r="47" spans="1:5" x14ac:dyDescent="0.35">
      <c r="A47" t="s">
        <v>80</v>
      </c>
      <c r="B47" t="s">
        <v>97</v>
      </c>
      <c r="C47" t="s">
        <v>98</v>
      </c>
      <c r="D47" t="s">
        <v>6</v>
      </c>
      <c r="E47" t="s">
        <v>7</v>
      </c>
    </row>
    <row r="48" spans="1:5" x14ac:dyDescent="0.35">
      <c r="A48" t="s">
        <v>80</v>
      </c>
      <c r="B48" t="s">
        <v>99</v>
      </c>
      <c r="C48" t="s">
        <v>100</v>
      </c>
      <c r="D48" t="s">
        <v>6</v>
      </c>
      <c r="E48" t="s">
        <v>7</v>
      </c>
    </row>
    <row r="49" spans="1:5" x14ac:dyDescent="0.35">
      <c r="A49" t="s">
        <v>80</v>
      </c>
      <c r="B49" t="s">
        <v>101</v>
      </c>
      <c r="C49" t="s">
        <v>102</v>
      </c>
      <c r="D49" t="s">
        <v>6</v>
      </c>
      <c r="E49" t="s">
        <v>7</v>
      </c>
    </row>
    <row r="50" spans="1:5" x14ac:dyDescent="0.35">
      <c r="A50" t="s">
        <v>80</v>
      </c>
      <c r="B50" t="s">
        <v>103</v>
      </c>
      <c r="C50" t="s">
        <v>104</v>
      </c>
      <c r="D50" t="s">
        <v>6</v>
      </c>
      <c r="E50" t="s">
        <v>7</v>
      </c>
    </row>
    <row r="51" spans="1:5" x14ac:dyDescent="0.35">
      <c r="A51" t="s">
        <v>80</v>
      </c>
      <c r="B51" t="s">
        <v>105</v>
      </c>
      <c r="C51" t="s">
        <v>106</v>
      </c>
      <c r="D51" t="s">
        <v>6</v>
      </c>
      <c r="E51" t="s">
        <v>7</v>
      </c>
    </row>
    <row r="52" spans="1:5" x14ac:dyDescent="0.35">
      <c r="A52" t="s">
        <v>80</v>
      </c>
      <c r="B52" t="s">
        <v>107</v>
      </c>
      <c r="C52" t="s">
        <v>108</v>
      </c>
      <c r="D52" t="s">
        <v>6</v>
      </c>
      <c r="E52" t="s">
        <v>7</v>
      </c>
    </row>
    <row r="53" spans="1:5" x14ac:dyDescent="0.35">
      <c r="A53" t="s">
        <v>80</v>
      </c>
      <c r="B53" t="s">
        <v>109</v>
      </c>
      <c r="C53" t="s">
        <v>110</v>
      </c>
      <c r="D53" t="s">
        <v>6</v>
      </c>
      <c r="E53" t="s">
        <v>7</v>
      </c>
    </row>
    <row r="54" spans="1:5" x14ac:dyDescent="0.35">
      <c r="A54" t="s">
        <v>80</v>
      </c>
      <c r="B54" t="s">
        <v>111</v>
      </c>
      <c r="C54" t="s">
        <v>112</v>
      </c>
      <c r="D54" t="s">
        <v>6</v>
      </c>
      <c r="E54" t="s">
        <v>7</v>
      </c>
    </row>
    <row r="55" spans="1:5" x14ac:dyDescent="0.35">
      <c r="A55" t="s">
        <v>80</v>
      </c>
      <c r="B55" t="s">
        <v>113</v>
      </c>
      <c r="C55" t="s">
        <v>114</v>
      </c>
      <c r="D55" t="s">
        <v>6</v>
      </c>
      <c r="E55" t="s">
        <v>7</v>
      </c>
    </row>
    <row r="56" spans="1:5" x14ac:dyDescent="0.35">
      <c r="A56" t="s">
        <v>80</v>
      </c>
      <c r="B56" t="s">
        <v>115</v>
      </c>
      <c r="C56" t="s">
        <v>116</v>
      </c>
      <c r="D56" t="s">
        <v>6</v>
      </c>
      <c r="E56" t="s">
        <v>7</v>
      </c>
    </row>
    <row r="57" spans="1:5" x14ac:dyDescent="0.35">
      <c r="A57" t="s">
        <v>80</v>
      </c>
      <c r="B57" t="s">
        <v>117</v>
      </c>
      <c r="C57" t="s">
        <v>118</v>
      </c>
      <c r="D57" t="s">
        <v>6</v>
      </c>
      <c r="E57" t="s">
        <v>7</v>
      </c>
    </row>
    <row r="58" spans="1:5" x14ac:dyDescent="0.35">
      <c r="A58" t="s">
        <v>80</v>
      </c>
      <c r="B58" t="s">
        <v>119</v>
      </c>
      <c r="C58" t="s">
        <v>120</v>
      </c>
      <c r="D58" t="s">
        <v>6</v>
      </c>
      <c r="E58" t="s">
        <v>7</v>
      </c>
    </row>
    <row r="59" spans="1:5" x14ac:dyDescent="0.35">
      <c r="A59" t="s">
        <v>80</v>
      </c>
      <c r="B59" t="s">
        <v>121</v>
      </c>
      <c r="C59" t="s">
        <v>122</v>
      </c>
      <c r="D59" t="s">
        <v>6</v>
      </c>
      <c r="E59" t="s">
        <v>7</v>
      </c>
    </row>
    <row r="60" spans="1:5" x14ac:dyDescent="0.35">
      <c r="A60" t="s">
        <v>123</v>
      </c>
      <c r="B60" t="s">
        <v>124</v>
      </c>
      <c r="C60" t="s">
        <v>125</v>
      </c>
      <c r="D60" t="s">
        <v>126</v>
      </c>
      <c r="E60" t="s">
        <v>127</v>
      </c>
    </row>
    <row r="61" spans="1:5" x14ac:dyDescent="0.35">
      <c r="A61" t="s">
        <v>123</v>
      </c>
      <c r="B61" t="s">
        <v>128</v>
      </c>
      <c r="C61" t="s">
        <v>129</v>
      </c>
      <c r="D61" t="s">
        <v>126</v>
      </c>
      <c r="E61" t="s">
        <v>130</v>
      </c>
    </row>
    <row r="62" spans="1:5" x14ac:dyDescent="0.35">
      <c r="A62" t="s">
        <v>123</v>
      </c>
      <c r="B62" t="s">
        <v>131</v>
      </c>
      <c r="C62" t="s">
        <v>132</v>
      </c>
      <c r="D62" t="s">
        <v>126</v>
      </c>
      <c r="E62" t="s">
        <v>127</v>
      </c>
    </row>
    <row r="63" spans="1:5" x14ac:dyDescent="0.35">
      <c r="A63" t="s">
        <v>123</v>
      </c>
      <c r="B63" t="s">
        <v>133</v>
      </c>
      <c r="C63" t="s">
        <v>134</v>
      </c>
      <c r="D63" t="s">
        <v>126</v>
      </c>
      <c r="E63" t="s">
        <v>127</v>
      </c>
    </row>
    <row r="64" spans="1:5" x14ac:dyDescent="0.35">
      <c r="A64" t="s">
        <v>123</v>
      </c>
      <c r="B64" t="s">
        <v>135</v>
      </c>
      <c r="C64" t="s">
        <v>136</v>
      </c>
      <c r="D64" t="s">
        <v>126</v>
      </c>
      <c r="E64" t="s">
        <v>137</v>
      </c>
    </row>
    <row r="65" spans="1:5" x14ac:dyDescent="0.35">
      <c r="A65" t="s">
        <v>123</v>
      </c>
      <c r="B65" t="s">
        <v>138</v>
      </c>
      <c r="C65" t="s">
        <v>139</v>
      </c>
      <c r="D65" t="s">
        <v>126</v>
      </c>
      <c r="E65" t="s">
        <v>130</v>
      </c>
    </row>
    <row r="66" spans="1:5" x14ac:dyDescent="0.35">
      <c r="A66" t="s">
        <v>123</v>
      </c>
      <c r="B66" t="s">
        <v>140</v>
      </c>
      <c r="C66" t="s">
        <v>141</v>
      </c>
      <c r="D66" t="s">
        <v>126</v>
      </c>
      <c r="E66" t="s">
        <v>137</v>
      </c>
    </row>
    <row r="67" spans="1:5" x14ac:dyDescent="0.35">
      <c r="A67" t="s">
        <v>123</v>
      </c>
      <c r="B67" t="s">
        <v>142</v>
      </c>
      <c r="C67" t="s">
        <v>143</v>
      </c>
      <c r="D67" t="s">
        <v>126</v>
      </c>
      <c r="E67" t="s">
        <v>130</v>
      </c>
    </row>
    <row r="68" spans="1:5" x14ac:dyDescent="0.35">
      <c r="A68" t="s">
        <v>123</v>
      </c>
      <c r="B68" t="s">
        <v>144</v>
      </c>
      <c r="C68" t="s">
        <v>145</v>
      </c>
      <c r="D68" t="s">
        <v>126</v>
      </c>
      <c r="E68" t="s">
        <v>130</v>
      </c>
    </row>
    <row r="69" spans="1:5" x14ac:dyDescent="0.35">
      <c r="A69" t="s">
        <v>123</v>
      </c>
      <c r="B69" t="s">
        <v>146</v>
      </c>
      <c r="C69" t="s">
        <v>147</v>
      </c>
      <c r="D69" t="s">
        <v>126</v>
      </c>
      <c r="E69" t="s">
        <v>130</v>
      </c>
    </row>
    <row r="70" spans="1:5" x14ac:dyDescent="0.35">
      <c r="A70" t="s">
        <v>123</v>
      </c>
      <c r="B70" t="s">
        <v>148</v>
      </c>
      <c r="C70" t="s">
        <v>149</v>
      </c>
      <c r="D70" t="s">
        <v>126</v>
      </c>
      <c r="E70" t="s">
        <v>130</v>
      </c>
    </row>
    <row r="71" spans="1:5" x14ac:dyDescent="0.35">
      <c r="A71" t="s">
        <v>150</v>
      </c>
      <c r="B71" t="s">
        <v>151</v>
      </c>
      <c r="C71" t="s">
        <v>152</v>
      </c>
      <c r="D71" t="s">
        <v>126</v>
      </c>
      <c r="E71" t="s">
        <v>153</v>
      </c>
    </row>
    <row r="72" spans="1:5" x14ac:dyDescent="0.35">
      <c r="A72" t="s">
        <v>150</v>
      </c>
      <c r="B72" t="s">
        <v>154</v>
      </c>
      <c r="C72" t="s">
        <v>155</v>
      </c>
      <c r="D72" t="s">
        <v>126</v>
      </c>
      <c r="E72" t="s">
        <v>127</v>
      </c>
    </row>
    <row r="73" spans="1:5" x14ac:dyDescent="0.35">
      <c r="A73" t="s">
        <v>156</v>
      </c>
      <c r="B73" t="s">
        <v>157</v>
      </c>
      <c r="C73" t="s">
        <v>158</v>
      </c>
      <c r="D73" t="s">
        <v>126</v>
      </c>
      <c r="E73" t="s">
        <v>153</v>
      </c>
    </row>
    <row r="74" spans="1:5" x14ac:dyDescent="0.35">
      <c r="A74" t="s">
        <v>159</v>
      </c>
      <c r="B74" t="s">
        <v>160</v>
      </c>
      <c r="C74" t="s">
        <v>161</v>
      </c>
      <c r="D74" t="s">
        <v>126</v>
      </c>
      <c r="E74" t="s">
        <v>127</v>
      </c>
    </row>
    <row r="75" spans="1:5" x14ac:dyDescent="0.35">
      <c r="A75" t="s">
        <v>162</v>
      </c>
      <c r="B75" t="s">
        <v>163</v>
      </c>
      <c r="C75" t="s">
        <v>164</v>
      </c>
      <c r="D75" t="s">
        <v>126</v>
      </c>
      <c r="E75" t="s">
        <v>137</v>
      </c>
    </row>
    <row r="76" spans="1:5" x14ac:dyDescent="0.35">
      <c r="A76" t="s">
        <v>162</v>
      </c>
      <c r="B76" t="s">
        <v>165</v>
      </c>
      <c r="C76" t="s">
        <v>166</v>
      </c>
      <c r="D76" t="s">
        <v>126</v>
      </c>
      <c r="E76" t="s">
        <v>137</v>
      </c>
    </row>
    <row r="77" spans="1:5" x14ac:dyDescent="0.35">
      <c r="A77" t="s">
        <v>162</v>
      </c>
      <c r="B77" t="s">
        <v>167</v>
      </c>
      <c r="C77" t="s">
        <v>168</v>
      </c>
      <c r="D77" t="s">
        <v>126</v>
      </c>
      <c r="E77" t="s">
        <v>130</v>
      </c>
    </row>
    <row r="78" spans="1:5" x14ac:dyDescent="0.35">
      <c r="A78" t="s">
        <v>162</v>
      </c>
      <c r="B78" t="s">
        <v>169</v>
      </c>
      <c r="C78" t="s">
        <v>170</v>
      </c>
      <c r="D78" t="s">
        <v>126</v>
      </c>
      <c r="E78" t="s">
        <v>130</v>
      </c>
    </row>
    <row r="79" spans="1:5" x14ac:dyDescent="0.35">
      <c r="A79" t="s">
        <v>171</v>
      </c>
      <c r="B79" t="s">
        <v>172</v>
      </c>
      <c r="C79" t="s">
        <v>173</v>
      </c>
      <c r="D79" t="s">
        <v>126</v>
      </c>
      <c r="E79" t="s">
        <v>153</v>
      </c>
    </row>
    <row r="80" spans="1:5" x14ac:dyDescent="0.35">
      <c r="A80" t="s">
        <v>171</v>
      </c>
      <c r="B80" t="s">
        <v>174</v>
      </c>
      <c r="C80" t="s">
        <v>175</v>
      </c>
      <c r="D80" t="s">
        <v>126</v>
      </c>
      <c r="E80" t="s">
        <v>153</v>
      </c>
    </row>
    <row r="81" spans="1:5" x14ac:dyDescent="0.35">
      <c r="A81" t="s">
        <v>171</v>
      </c>
      <c r="B81" t="s">
        <v>176</v>
      </c>
      <c r="C81" t="s">
        <v>177</v>
      </c>
      <c r="D81" t="s">
        <v>126</v>
      </c>
      <c r="E81" t="s">
        <v>137</v>
      </c>
    </row>
    <row r="82" spans="1:5" x14ac:dyDescent="0.35">
      <c r="A82" t="s">
        <v>171</v>
      </c>
      <c r="B82" t="s">
        <v>178</v>
      </c>
      <c r="C82" t="s">
        <v>179</v>
      </c>
      <c r="D82" t="s">
        <v>126</v>
      </c>
      <c r="E82" t="s">
        <v>127</v>
      </c>
    </row>
    <row r="83" spans="1:5" x14ac:dyDescent="0.35">
      <c r="A83" t="s">
        <v>171</v>
      </c>
      <c r="B83" t="s">
        <v>180</v>
      </c>
      <c r="C83" t="s">
        <v>181</v>
      </c>
      <c r="D83" t="s">
        <v>126</v>
      </c>
      <c r="E83" t="s">
        <v>153</v>
      </c>
    </row>
    <row r="84" spans="1:5" x14ac:dyDescent="0.35">
      <c r="A84" t="s">
        <v>182</v>
      </c>
      <c r="B84" t="s">
        <v>183</v>
      </c>
      <c r="C84" t="s">
        <v>184</v>
      </c>
      <c r="D84" t="s">
        <v>126</v>
      </c>
      <c r="E84" t="s">
        <v>127</v>
      </c>
    </row>
    <row r="85" spans="1:5" x14ac:dyDescent="0.35">
      <c r="A85" t="s">
        <v>185</v>
      </c>
      <c r="B85" t="s">
        <v>186</v>
      </c>
      <c r="C85" t="s">
        <v>187</v>
      </c>
      <c r="D85" t="s">
        <v>126</v>
      </c>
      <c r="E85" t="s">
        <v>153</v>
      </c>
    </row>
    <row r="86" spans="1:5" x14ac:dyDescent="0.35">
      <c r="A86" t="s">
        <v>185</v>
      </c>
      <c r="B86" t="s">
        <v>188</v>
      </c>
      <c r="C86" t="s">
        <v>189</v>
      </c>
      <c r="D86" t="s">
        <v>126</v>
      </c>
      <c r="E86" t="s">
        <v>130</v>
      </c>
    </row>
    <row r="87" spans="1:5" x14ac:dyDescent="0.35">
      <c r="A87" t="s">
        <v>190</v>
      </c>
      <c r="B87" t="s">
        <v>191</v>
      </c>
      <c r="C87" t="s">
        <v>192</v>
      </c>
      <c r="D87" t="s">
        <v>126</v>
      </c>
      <c r="E87" t="s">
        <v>130</v>
      </c>
    </row>
    <row r="88" spans="1:5" x14ac:dyDescent="0.35">
      <c r="A88" t="s">
        <v>190</v>
      </c>
      <c r="B88" t="s">
        <v>193</v>
      </c>
      <c r="C88" t="s">
        <v>194</v>
      </c>
      <c r="D88" t="s">
        <v>126</v>
      </c>
      <c r="E88" t="s">
        <v>130</v>
      </c>
    </row>
    <row r="89" spans="1:5" x14ac:dyDescent="0.35">
      <c r="A89" t="s">
        <v>195</v>
      </c>
      <c r="B89" t="s">
        <v>196</v>
      </c>
      <c r="C89" t="s">
        <v>197</v>
      </c>
      <c r="D89" t="s">
        <v>126</v>
      </c>
      <c r="E89" t="s">
        <v>137</v>
      </c>
    </row>
    <row r="90" spans="1:5" x14ac:dyDescent="0.35">
      <c r="A90" t="s">
        <v>195</v>
      </c>
      <c r="B90" t="s">
        <v>198</v>
      </c>
      <c r="C90" t="s">
        <v>199</v>
      </c>
      <c r="D90" t="s">
        <v>126</v>
      </c>
      <c r="E90" t="s">
        <v>137</v>
      </c>
    </row>
    <row r="91" spans="1:5" x14ac:dyDescent="0.35">
      <c r="A91" t="s">
        <v>195</v>
      </c>
      <c r="B91" t="s">
        <v>200</v>
      </c>
      <c r="C91" t="s">
        <v>201</v>
      </c>
      <c r="D91" t="s">
        <v>126</v>
      </c>
      <c r="E91" t="s">
        <v>153</v>
      </c>
    </row>
    <row r="92" spans="1:5" x14ac:dyDescent="0.35">
      <c r="A92" t="s">
        <v>202</v>
      </c>
      <c r="B92" t="s">
        <v>203</v>
      </c>
      <c r="C92" t="s">
        <v>204</v>
      </c>
      <c r="D92" t="s">
        <v>126</v>
      </c>
      <c r="E92" t="s">
        <v>137</v>
      </c>
    </row>
    <row r="93" spans="1:5" x14ac:dyDescent="0.35">
      <c r="A93" t="s">
        <v>202</v>
      </c>
      <c r="B93" t="s">
        <v>205</v>
      </c>
      <c r="C93" t="s">
        <v>206</v>
      </c>
      <c r="D93" t="s">
        <v>126</v>
      </c>
      <c r="E93" t="s">
        <v>137</v>
      </c>
    </row>
    <row r="94" spans="1:5" x14ac:dyDescent="0.35">
      <c r="A94" t="s">
        <v>202</v>
      </c>
      <c r="B94" t="s">
        <v>207</v>
      </c>
      <c r="C94" t="s">
        <v>208</v>
      </c>
      <c r="D94" t="s">
        <v>126</v>
      </c>
      <c r="E94" t="s">
        <v>137</v>
      </c>
    </row>
    <row r="95" spans="1:5" x14ac:dyDescent="0.35">
      <c r="A95" t="s">
        <v>202</v>
      </c>
      <c r="B95" t="s">
        <v>209</v>
      </c>
      <c r="C95" t="s">
        <v>210</v>
      </c>
      <c r="D95" t="s">
        <v>126</v>
      </c>
      <c r="E95" t="s">
        <v>127</v>
      </c>
    </row>
    <row r="96" spans="1:5" x14ac:dyDescent="0.35">
      <c r="A96" t="s">
        <v>211</v>
      </c>
      <c r="B96" t="s">
        <v>212</v>
      </c>
      <c r="C96" t="s">
        <v>213</v>
      </c>
      <c r="D96" t="s">
        <v>126</v>
      </c>
      <c r="E96" t="s">
        <v>153</v>
      </c>
    </row>
    <row r="97" spans="1:5" x14ac:dyDescent="0.35">
      <c r="A97" t="s">
        <v>211</v>
      </c>
      <c r="B97" t="s">
        <v>214</v>
      </c>
      <c r="C97" t="s">
        <v>215</v>
      </c>
      <c r="D97" t="s">
        <v>126</v>
      </c>
      <c r="E97" t="s">
        <v>216</v>
      </c>
    </row>
    <row r="98" spans="1:5" x14ac:dyDescent="0.35">
      <c r="A98" t="s">
        <v>211</v>
      </c>
      <c r="B98" t="s">
        <v>217</v>
      </c>
      <c r="C98" t="s">
        <v>218</v>
      </c>
      <c r="D98" t="s">
        <v>126</v>
      </c>
      <c r="E98" t="s">
        <v>127</v>
      </c>
    </row>
    <row r="99" spans="1:5" x14ac:dyDescent="0.35">
      <c r="A99" t="s">
        <v>211</v>
      </c>
      <c r="B99" t="s">
        <v>219</v>
      </c>
      <c r="C99" t="s">
        <v>220</v>
      </c>
      <c r="D99" t="s">
        <v>126</v>
      </c>
      <c r="E99" t="s">
        <v>153</v>
      </c>
    </row>
    <row r="100" spans="1:5" x14ac:dyDescent="0.35">
      <c r="A100" t="s">
        <v>211</v>
      </c>
      <c r="B100" t="s">
        <v>221</v>
      </c>
      <c r="C100" t="s">
        <v>222</v>
      </c>
      <c r="D100" t="s">
        <v>126</v>
      </c>
      <c r="E100" t="s">
        <v>153</v>
      </c>
    </row>
    <row r="101" spans="1:5" x14ac:dyDescent="0.35">
      <c r="A101" t="s">
        <v>211</v>
      </c>
      <c r="B101" t="s">
        <v>223</v>
      </c>
      <c r="C101" t="s">
        <v>224</v>
      </c>
      <c r="D101" t="s">
        <v>126</v>
      </c>
      <c r="E101" t="s">
        <v>153</v>
      </c>
    </row>
    <row r="102" spans="1:5" x14ac:dyDescent="0.35">
      <c r="A102" t="s">
        <v>211</v>
      </c>
      <c r="B102" t="s">
        <v>225</v>
      </c>
      <c r="C102" t="s">
        <v>226</v>
      </c>
      <c r="D102" t="s">
        <v>126</v>
      </c>
      <c r="E102" t="s">
        <v>127</v>
      </c>
    </row>
    <row r="103" spans="1:5" x14ac:dyDescent="0.35">
      <c r="A103" t="s">
        <v>211</v>
      </c>
      <c r="B103" t="s">
        <v>227</v>
      </c>
      <c r="C103" t="s">
        <v>228</v>
      </c>
      <c r="D103" t="s">
        <v>126</v>
      </c>
      <c r="E103" t="s">
        <v>216</v>
      </c>
    </row>
    <row r="104" spans="1:5" x14ac:dyDescent="0.35">
      <c r="A104" t="s">
        <v>211</v>
      </c>
      <c r="B104" t="s">
        <v>229</v>
      </c>
      <c r="C104" t="s">
        <v>230</v>
      </c>
      <c r="D104" t="s">
        <v>126</v>
      </c>
      <c r="E104" t="s">
        <v>153</v>
      </c>
    </row>
    <row r="105" spans="1:5" x14ac:dyDescent="0.35">
      <c r="A105" t="s">
        <v>211</v>
      </c>
      <c r="B105" t="s">
        <v>231</v>
      </c>
      <c r="C105" t="s">
        <v>232</v>
      </c>
      <c r="D105" t="s">
        <v>126</v>
      </c>
      <c r="E105" t="s">
        <v>153</v>
      </c>
    </row>
    <row r="106" spans="1:5" x14ac:dyDescent="0.35">
      <c r="A106" t="s">
        <v>211</v>
      </c>
      <c r="B106" t="s">
        <v>233</v>
      </c>
      <c r="C106" t="s">
        <v>234</v>
      </c>
      <c r="D106" t="s">
        <v>235</v>
      </c>
    </row>
    <row r="107" spans="1:5" x14ac:dyDescent="0.35">
      <c r="A107" t="s">
        <v>211</v>
      </c>
      <c r="B107" t="s">
        <v>236</v>
      </c>
      <c r="C107" t="s">
        <v>237</v>
      </c>
      <c r="D107" t="s">
        <v>126</v>
      </c>
      <c r="E107" t="s">
        <v>216</v>
      </c>
    </row>
    <row r="108" spans="1:5" x14ac:dyDescent="0.35">
      <c r="A108" t="s">
        <v>211</v>
      </c>
      <c r="B108" t="s">
        <v>238</v>
      </c>
      <c r="C108" t="s">
        <v>239</v>
      </c>
      <c r="D108" t="s">
        <v>126</v>
      </c>
      <c r="E108" t="s">
        <v>127</v>
      </c>
    </row>
    <row r="109" spans="1:5" x14ac:dyDescent="0.35">
      <c r="A109" t="s">
        <v>240</v>
      </c>
      <c r="B109" t="s">
        <v>241</v>
      </c>
      <c r="C109" t="s">
        <v>242</v>
      </c>
      <c r="D109" t="s">
        <v>126</v>
      </c>
      <c r="E109" t="s">
        <v>127</v>
      </c>
    </row>
    <row r="110" spans="1:5" x14ac:dyDescent="0.35">
      <c r="A110" t="s">
        <v>240</v>
      </c>
      <c r="B110" t="s">
        <v>243</v>
      </c>
      <c r="C110" t="s">
        <v>244</v>
      </c>
      <c r="D110" t="s">
        <v>126</v>
      </c>
      <c r="E110" t="s">
        <v>127</v>
      </c>
    </row>
    <row r="111" spans="1:5" x14ac:dyDescent="0.35">
      <c r="A111" t="s">
        <v>240</v>
      </c>
      <c r="B111" t="s">
        <v>245</v>
      </c>
      <c r="C111" t="s">
        <v>246</v>
      </c>
      <c r="D111" t="s">
        <v>126</v>
      </c>
      <c r="E111" t="s">
        <v>137</v>
      </c>
    </row>
    <row r="112" spans="1:5" x14ac:dyDescent="0.35">
      <c r="A112" t="s">
        <v>240</v>
      </c>
      <c r="B112" t="s">
        <v>247</v>
      </c>
      <c r="C112" t="s">
        <v>248</v>
      </c>
      <c r="D112" t="s">
        <v>126</v>
      </c>
      <c r="E112" t="s">
        <v>137</v>
      </c>
    </row>
    <row r="113" spans="1:5" x14ac:dyDescent="0.35">
      <c r="A113" t="s">
        <v>240</v>
      </c>
      <c r="B113" t="s">
        <v>249</v>
      </c>
      <c r="C113" t="s">
        <v>250</v>
      </c>
      <c r="D113" t="s">
        <v>126</v>
      </c>
      <c r="E113" t="s">
        <v>130</v>
      </c>
    </row>
    <row r="114" spans="1:5" x14ac:dyDescent="0.35">
      <c r="A114" t="s">
        <v>240</v>
      </c>
      <c r="B114" t="s">
        <v>251</v>
      </c>
      <c r="C114" t="s">
        <v>252</v>
      </c>
      <c r="D114" t="s">
        <v>126</v>
      </c>
      <c r="E114" t="s">
        <v>137</v>
      </c>
    </row>
    <row r="115" spans="1:5" x14ac:dyDescent="0.35">
      <c r="A115" t="s">
        <v>240</v>
      </c>
      <c r="B115" t="s">
        <v>253</v>
      </c>
      <c r="C115" t="s">
        <v>254</v>
      </c>
      <c r="D115" t="s">
        <v>126</v>
      </c>
      <c r="E115" t="s">
        <v>137</v>
      </c>
    </row>
    <row r="116" spans="1:5" x14ac:dyDescent="0.35">
      <c r="A116" t="s">
        <v>240</v>
      </c>
      <c r="B116" t="s">
        <v>255</v>
      </c>
      <c r="C116" t="s">
        <v>256</v>
      </c>
      <c r="D116" t="s">
        <v>126</v>
      </c>
      <c r="E116" t="s">
        <v>153</v>
      </c>
    </row>
    <row r="117" spans="1:5" x14ac:dyDescent="0.35">
      <c r="A117" t="s">
        <v>240</v>
      </c>
      <c r="B117" t="s">
        <v>257</v>
      </c>
      <c r="C117" t="s">
        <v>258</v>
      </c>
      <c r="D117" t="s">
        <v>126</v>
      </c>
      <c r="E117" t="s">
        <v>153</v>
      </c>
    </row>
    <row r="118" spans="1:5" x14ac:dyDescent="0.35">
      <c r="A118" t="s">
        <v>240</v>
      </c>
      <c r="B118" t="s">
        <v>259</v>
      </c>
      <c r="C118" t="s">
        <v>260</v>
      </c>
      <c r="D118" t="s">
        <v>126</v>
      </c>
      <c r="E118" t="s">
        <v>130</v>
      </c>
    </row>
    <row r="119" spans="1:5" x14ac:dyDescent="0.35">
      <c r="A119" t="s">
        <v>240</v>
      </c>
      <c r="B119" t="s">
        <v>261</v>
      </c>
      <c r="C119" t="s">
        <v>262</v>
      </c>
      <c r="D119" t="s">
        <v>126</v>
      </c>
      <c r="E119" t="s">
        <v>130</v>
      </c>
    </row>
    <row r="120" spans="1:5" x14ac:dyDescent="0.35">
      <c r="A120" t="s">
        <v>240</v>
      </c>
      <c r="B120" t="s">
        <v>263</v>
      </c>
      <c r="C120" t="s">
        <v>264</v>
      </c>
      <c r="D120" t="s">
        <v>126</v>
      </c>
      <c r="E120" t="s">
        <v>137</v>
      </c>
    </row>
    <row r="121" spans="1:5" x14ac:dyDescent="0.35">
      <c r="A121" t="s">
        <v>265</v>
      </c>
      <c r="B121" t="s">
        <v>266</v>
      </c>
      <c r="C121" t="s">
        <v>267</v>
      </c>
      <c r="D121" t="s">
        <v>126</v>
      </c>
      <c r="E121" t="s">
        <v>130</v>
      </c>
    </row>
    <row r="122" spans="1:5" x14ac:dyDescent="0.35">
      <c r="A122" t="s">
        <v>265</v>
      </c>
      <c r="B122" t="s">
        <v>268</v>
      </c>
      <c r="C122" t="s">
        <v>269</v>
      </c>
      <c r="D122" t="s">
        <v>126</v>
      </c>
      <c r="E122" t="s">
        <v>137</v>
      </c>
    </row>
    <row r="123" spans="1:5" x14ac:dyDescent="0.35">
      <c r="A123" t="s">
        <v>265</v>
      </c>
      <c r="B123" t="s">
        <v>270</v>
      </c>
      <c r="C123" t="s">
        <v>271</v>
      </c>
      <c r="D123" t="s">
        <v>126</v>
      </c>
      <c r="E123" t="s">
        <v>130</v>
      </c>
    </row>
    <row r="124" spans="1:5" x14ac:dyDescent="0.35">
      <c r="A124" t="s">
        <v>265</v>
      </c>
      <c r="B124" t="s">
        <v>272</v>
      </c>
      <c r="C124" t="s">
        <v>273</v>
      </c>
      <c r="D124" t="s">
        <v>126</v>
      </c>
      <c r="E124" t="s">
        <v>130</v>
      </c>
    </row>
    <row r="125" spans="1:5" x14ac:dyDescent="0.35">
      <c r="A125" t="s">
        <v>265</v>
      </c>
      <c r="B125" t="s">
        <v>274</v>
      </c>
      <c r="C125" t="s">
        <v>275</v>
      </c>
      <c r="D125" t="s">
        <v>126</v>
      </c>
      <c r="E125" t="s">
        <v>130</v>
      </c>
    </row>
    <row r="126" spans="1:5" x14ac:dyDescent="0.35">
      <c r="A126" t="s">
        <v>265</v>
      </c>
      <c r="B126" t="s">
        <v>276</v>
      </c>
      <c r="C126" t="s">
        <v>277</v>
      </c>
      <c r="D126" t="s">
        <v>126</v>
      </c>
      <c r="E126" t="s">
        <v>130</v>
      </c>
    </row>
    <row r="127" spans="1:5" x14ac:dyDescent="0.35">
      <c r="A127" t="s">
        <v>265</v>
      </c>
      <c r="B127" t="s">
        <v>278</v>
      </c>
      <c r="C127" t="s">
        <v>279</v>
      </c>
      <c r="D127" t="s">
        <v>126</v>
      </c>
      <c r="E127" t="s">
        <v>130</v>
      </c>
    </row>
    <row r="128" spans="1:5" x14ac:dyDescent="0.35">
      <c r="A128" t="s">
        <v>265</v>
      </c>
      <c r="B128" t="s">
        <v>280</v>
      </c>
      <c r="C128" t="s">
        <v>281</v>
      </c>
      <c r="D128" t="s">
        <v>126</v>
      </c>
      <c r="E128" t="s">
        <v>130</v>
      </c>
    </row>
    <row r="129" spans="1:5" x14ac:dyDescent="0.35">
      <c r="A129" t="s">
        <v>265</v>
      </c>
      <c r="B129" t="s">
        <v>282</v>
      </c>
      <c r="C129" t="s">
        <v>283</v>
      </c>
      <c r="D129" t="s">
        <v>126</v>
      </c>
      <c r="E129" t="s">
        <v>137</v>
      </c>
    </row>
    <row r="130" spans="1:5" x14ac:dyDescent="0.35">
      <c r="A130" t="s">
        <v>265</v>
      </c>
      <c r="B130" t="s">
        <v>284</v>
      </c>
      <c r="C130" t="s">
        <v>285</v>
      </c>
      <c r="D130" t="s">
        <v>126</v>
      </c>
      <c r="E130" t="s">
        <v>137</v>
      </c>
    </row>
    <row r="131" spans="1:5" x14ac:dyDescent="0.35">
      <c r="A131" t="s">
        <v>265</v>
      </c>
      <c r="B131" t="s">
        <v>286</v>
      </c>
      <c r="C131" t="s">
        <v>287</v>
      </c>
      <c r="D131" t="s">
        <v>126</v>
      </c>
      <c r="E131" t="s">
        <v>130</v>
      </c>
    </row>
    <row r="132" spans="1:5" x14ac:dyDescent="0.35">
      <c r="A132" t="s">
        <v>265</v>
      </c>
      <c r="B132" t="s">
        <v>288</v>
      </c>
      <c r="C132" t="s">
        <v>289</v>
      </c>
      <c r="D132" t="s">
        <v>126</v>
      </c>
      <c r="E132" t="s">
        <v>137</v>
      </c>
    </row>
    <row r="133" spans="1:5" x14ac:dyDescent="0.35">
      <c r="A133" t="s">
        <v>265</v>
      </c>
      <c r="B133" t="s">
        <v>290</v>
      </c>
      <c r="C133" t="s">
        <v>291</v>
      </c>
      <c r="D133" t="s">
        <v>126</v>
      </c>
      <c r="E133" t="s">
        <v>130</v>
      </c>
    </row>
    <row r="134" spans="1:5" x14ac:dyDescent="0.35">
      <c r="A134" t="s">
        <v>265</v>
      </c>
      <c r="B134" t="s">
        <v>292</v>
      </c>
      <c r="C134" t="s">
        <v>293</v>
      </c>
      <c r="D134" t="s">
        <v>126</v>
      </c>
      <c r="E134" t="s">
        <v>137</v>
      </c>
    </row>
    <row r="135" spans="1:5" x14ac:dyDescent="0.35">
      <c r="A135" t="s">
        <v>265</v>
      </c>
      <c r="B135" t="s">
        <v>294</v>
      </c>
      <c r="C135" t="s">
        <v>295</v>
      </c>
      <c r="D135" t="s">
        <v>126</v>
      </c>
      <c r="E135" t="s">
        <v>137</v>
      </c>
    </row>
    <row r="136" spans="1:5" x14ac:dyDescent="0.35">
      <c r="A136" t="s">
        <v>265</v>
      </c>
      <c r="B136" t="s">
        <v>296</v>
      </c>
      <c r="C136" t="s">
        <v>297</v>
      </c>
      <c r="D136" t="s">
        <v>126</v>
      </c>
      <c r="E136" t="s">
        <v>130</v>
      </c>
    </row>
    <row r="137" spans="1:5" x14ac:dyDescent="0.35">
      <c r="A137" t="s">
        <v>265</v>
      </c>
      <c r="B137" t="s">
        <v>298</v>
      </c>
      <c r="C137" t="s">
        <v>299</v>
      </c>
      <c r="D137" t="s">
        <v>126</v>
      </c>
      <c r="E137" t="s">
        <v>130</v>
      </c>
    </row>
    <row r="138" spans="1:5" x14ac:dyDescent="0.35">
      <c r="A138" t="s">
        <v>265</v>
      </c>
      <c r="B138" t="s">
        <v>300</v>
      </c>
      <c r="C138" t="s">
        <v>301</v>
      </c>
      <c r="D138" t="s">
        <v>126</v>
      </c>
      <c r="E138" t="s">
        <v>130</v>
      </c>
    </row>
    <row r="139" spans="1:5" x14ac:dyDescent="0.35">
      <c r="A139" t="s">
        <v>265</v>
      </c>
      <c r="B139" t="s">
        <v>302</v>
      </c>
      <c r="C139" t="s">
        <v>303</v>
      </c>
      <c r="D139" t="s">
        <v>126</v>
      </c>
      <c r="E139" t="s">
        <v>137</v>
      </c>
    </row>
    <row r="140" spans="1:5" x14ac:dyDescent="0.35">
      <c r="A140" t="s">
        <v>265</v>
      </c>
      <c r="B140" t="s">
        <v>304</v>
      </c>
      <c r="C140" t="s">
        <v>305</v>
      </c>
      <c r="D140" t="s">
        <v>126</v>
      </c>
      <c r="E140" t="s">
        <v>130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A7238-C5CD-410E-B91E-DFAC8B9D6D97}">
  <dimension ref="A1:D6"/>
  <sheetViews>
    <sheetView workbookViewId="0">
      <selection sqref="A1:B6"/>
    </sheetView>
  </sheetViews>
  <sheetFormatPr defaultRowHeight="14.5" x14ac:dyDescent="0.35"/>
  <cols>
    <col min="1" max="2" width="23.1796875" customWidth="1"/>
    <col min="3" max="3" width="89.6328125" style="2" customWidth="1"/>
    <col min="4" max="4" width="14.54296875" bestFit="1" customWidth="1"/>
  </cols>
  <sheetData>
    <row r="1" spans="1:4" x14ac:dyDescent="0.35">
      <c r="A1" s="1" t="s">
        <v>306</v>
      </c>
      <c r="B1" s="1" t="s">
        <v>361</v>
      </c>
      <c r="C1" s="3" t="s">
        <v>307</v>
      </c>
      <c r="D1" s="1" t="s">
        <v>319</v>
      </c>
    </row>
    <row r="2" spans="1:4" ht="58" x14ac:dyDescent="0.35">
      <c r="A2" t="s">
        <v>308</v>
      </c>
      <c r="B2" t="s">
        <v>362</v>
      </c>
      <c r="C2" s="2" t="s">
        <v>317</v>
      </c>
      <c r="D2" t="s">
        <v>320</v>
      </c>
    </row>
    <row r="3" spans="1:4" x14ac:dyDescent="0.35">
      <c r="A3" t="s">
        <v>309</v>
      </c>
      <c r="B3" t="s">
        <v>363</v>
      </c>
      <c r="C3" s="2" t="s">
        <v>316</v>
      </c>
      <c r="D3" t="s">
        <v>318</v>
      </c>
    </row>
    <row r="4" spans="1:4" x14ac:dyDescent="0.35">
      <c r="A4" t="s">
        <v>310</v>
      </c>
      <c r="B4" t="s">
        <v>347</v>
      </c>
      <c r="C4" s="2" t="s">
        <v>315</v>
      </c>
      <c r="D4" t="s">
        <v>318</v>
      </c>
    </row>
    <row r="5" spans="1:4" x14ac:dyDescent="0.35">
      <c r="A5" t="s">
        <v>311</v>
      </c>
      <c r="B5" t="s">
        <v>346</v>
      </c>
      <c r="C5" s="2" t="s">
        <v>314</v>
      </c>
      <c r="D5" t="s">
        <v>321</v>
      </c>
    </row>
    <row r="6" spans="1:4" x14ac:dyDescent="0.35">
      <c r="A6" t="s">
        <v>312</v>
      </c>
      <c r="B6" t="s">
        <v>324</v>
      </c>
      <c r="C6" s="2" t="s">
        <v>313</v>
      </c>
      <c r="D6" t="s">
        <v>321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609A0-83ED-4B8D-851C-42C49584265F}">
  <dimension ref="A1:F147"/>
  <sheetViews>
    <sheetView workbookViewId="0">
      <selection activeCell="A47" sqref="A47:XFD47"/>
    </sheetView>
  </sheetViews>
  <sheetFormatPr defaultRowHeight="14.5" x14ac:dyDescent="0.35"/>
  <cols>
    <col min="1" max="1" width="23.90625" bestFit="1" customWidth="1"/>
    <col min="2" max="2" width="35.36328125" bestFit="1" customWidth="1"/>
    <col min="3" max="3" width="23.90625" bestFit="1" customWidth="1"/>
    <col min="4" max="4" width="23.90625" customWidth="1"/>
  </cols>
  <sheetData>
    <row r="1" spans="1:6" ht="41.5" customHeight="1" x14ac:dyDescent="0.35">
      <c r="A1" s="16" t="s">
        <v>325</v>
      </c>
      <c r="B1" s="16"/>
      <c r="C1" s="16"/>
      <c r="D1" s="4"/>
    </row>
    <row r="2" spans="1:6" x14ac:dyDescent="0.35">
      <c r="A2" s="1" t="s">
        <v>1</v>
      </c>
      <c r="B2" s="1" t="s">
        <v>2</v>
      </c>
      <c r="C2" s="1" t="s">
        <v>324</v>
      </c>
      <c r="D2" s="1" t="s">
        <v>337</v>
      </c>
      <c r="E2" s="1" t="s">
        <v>326</v>
      </c>
      <c r="F2" s="1" t="s">
        <v>370</v>
      </c>
    </row>
    <row r="3" spans="1:6" x14ac:dyDescent="0.35">
      <c r="A3" t="s">
        <v>4</v>
      </c>
      <c r="B3" t="s">
        <v>5</v>
      </c>
      <c r="C3" t="s">
        <v>4</v>
      </c>
      <c r="D3" t="s">
        <v>335</v>
      </c>
      <c r="E3" t="s">
        <v>327</v>
      </c>
      <c r="F3">
        <v>3</v>
      </c>
    </row>
    <row r="4" spans="1:6" x14ac:dyDescent="0.35">
      <c r="A4" t="s">
        <v>8</v>
      </c>
      <c r="B4" t="s">
        <v>9</v>
      </c>
      <c r="C4" t="s">
        <v>8</v>
      </c>
      <c r="D4" t="s">
        <v>335</v>
      </c>
      <c r="E4" t="s">
        <v>328</v>
      </c>
      <c r="F4">
        <v>5</v>
      </c>
    </row>
    <row r="5" spans="1:6" x14ac:dyDescent="0.35">
      <c r="A5" t="s">
        <v>10</v>
      </c>
      <c r="B5" t="s">
        <v>11</v>
      </c>
      <c r="C5" t="s">
        <v>10</v>
      </c>
      <c r="D5" t="s">
        <v>335</v>
      </c>
      <c r="E5" t="s">
        <v>327</v>
      </c>
      <c r="F5">
        <v>6</v>
      </c>
    </row>
    <row r="6" spans="1:6" x14ac:dyDescent="0.35">
      <c r="A6" t="s">
        <v>12</v>
      </c>
      <c r="B6" t="s">
        <v>13</v>
      </c>
      <c r="C6" t="s">
        <v>12</v>
      </c>
      <c r="D6" t="s">
        <v>335</v>
      </c>
      <c r="E6" t="s">
        <v>327</v>
      </c>
      <c r="F6">
        <v>15</v>
      </c>
    </row>
    <row r="7" spans="1:6" x14ac:dyDescent="0.35">
      <c r="A7" t="s">
        <v>14</v>
      </c>
      <c r="B7" t="s">
        <v>15</v>
      </c>
      <c r="C7" t="s">
        <v>14</v>
      </c>
      <c r="D7" t="s">
        <v>335</v>
      </c>
      <c r="E7" t="s">
        <v>328</v>
      </c>
      <c r="F7">
        <v>16</v>
      </c>
    </row>
    <row r="8" spans="1:6" x14ac:dyDescent="0.35">
      <c r="A8" t="s">
        <v>16</v>
      </c>
      <c r="B8" t="s">
        <v>17</v>
      </c>
      <c r="C8" t="s">
        <v>16</v>
      </c>
      <c r="D8" t="s">
        <v>335</v>
      </c>
      <c r="E8" t="s">
        <v>328</v>
      </c>
      <c r="F8">
        <v>11</v>
      </c>
    </row>
    <row r="9" spans="1:6" x14ac:dyDescent="0.35">
      <c r="A9" t="s">
        <v>18</v>
      </c>
      <c r="B9" t="s">
        <v>19</v>
      </c>
      <c r="C9" t="s">
        <v>18</v>
      </c>
      <c r="D9" t="s">
        <v>335</v>
      </c>
      <c r="E9" t="s">
        <v>327</v>
      </c>
      <c r="F9">
        <v>7</v>
      </c>
    </row>
    <row r="10" spans="1:6" x14ac:dyDescent="0.35">
      <c r="A10" t="s">
        <v>20</v>
      </c>
      <c r="B10" t="s">
        <v>21</v>
      </c>
      <c r="C10" t="s">
        <v>20</v>
      </c>
      <c r="D10" t="s">
        <v>335</v>
      </c>
      <c r="E10" t="s">
        <v>327</v>
      </c>
      <c r="F10">
        <v>1</v>
      </c>
    </row>
    <row r="11" spans="1:6" x14ac:dyDescent="0.35">
      <c r="A11" t="s">
        <v>22</v>
      </c>
      <c r="B11" t="s">
        <v>23</v>
      </c>
      <c r="C11" t="s">
        <v>22</v>
      </c>
      <c r="D11" t="s">
        <v>335</v>
      </c>
      <c r="E11" t="s">
        <v>328</v>
      </c>
      <c r="F11">
        <v>10</v>
      </c>
    </row>
    <row r="12" spans="1:6" x14ac:dyDescent="0.35">
      <c r="A12" t="s">
        <v>24</v>
      </c>
      <c r="B12" t="s">
        <v>25</v>
      </c>
      <c r="C12" t="s">
        <v>24</v>
      </c>
      <c r="D12" t="s">
        <v>335</v>
      </c>
      <c r="E12" t="s">
        <v>327</v>
      </c>
      <c r="F12">
        <v>11</v>
      </c>
    </row>
    <row r="13" spans="1:6" x14ac:dyDescent="0.35">
      <c r="A13" t="s">
        <v>26</v>
      </c>
      <c r="B13" t="s">
        <v>27</v>
      </c>
      <c r="C13" t="s">
        <v>26</v>
      </c>
      <c r="D13" t="s">
        <v>335</v>
      </c>
      <c r="E13" t="s">
        <v>328</v>
      </c>
      <c r="F13">
        <v>17</v>
      </c>
    </row>
    <row r="14" spans="1:6" x14ac:dyDescent="0.35">
      <c r="A14" t="s">
        <v>28</v>
      </c>
      <c r="B14" t="s">
        <v>29</v>
      </c>
      <c r="C14" t="s">
        <v>28</v>
      </c>
      <c r="D14" t="s">
        <v>335</v>
      </c>
      <c r="E14" t="s">
        <v>328</v>
      </c>
      <c r="F14">
        <v>7</v>
      </c>
    </row>
    <row r="15" spans="1:6" x14ac:dyDescent="0.35">
      <c r="A15" t="s">
        <v>30</v>
      </c>
      <c r="B15" t="s">
        <v>31</v>
      </c>
      <c r="C15" t="s">
        <v>30</v>
      </c>
      <c r="D15" t="s">
        <v>335</v>
      </c>
      <c r="E15" t="s">
        <v>327</v>
      </c>
      <c r="F15">
        <v>2</v>
      </c>
    </row>
    <row r="16" spans="1:6" x14ac:dyDescent="0.35">
      <c r="A16" t="s">
        <v>32</v>
      </c>
      <c r="B16" t="s">
        <v>33</v>
      </c>
      <c r="C16" t="s">
        <v>32</v>
      </c>
      <c r="D16" t="s">
        <v>335</v>
      </c>
      <c r="E16" t="s">
        <v>327</v>
      </c>
      <c r="F16">
        <v>16</v>
      </c>
    </row>
    <row r="17" spans="1:6" x14ac:dyDescent="0.35">
      <c r="A17" t="s">
        <v>34</v>
      </c>
      <c r="B17" t="s">
        <v>35</v>
      </c>
      <c r="C17" t="s">
        <v>34</v>
      </c>
      <c r="D17" t="s">
        <v>335</v>
      </c>
      <c r="E17" t="s">
        <v>328</v>
      </c>
      <c r="F17">
        <v>3</v>
      </c>
    </row>
    <row r="18" spans="1:6" x14ac:dyDescent="0.35">
      <c r="A18" t="s">
        <v>36</v>
      </c>
      <c r="B18" t="s">
        <v>37</v>
      </c>
      <c r="C18" t="s">
        <v>36</v>
      </c>
      <c r="D18" t="s">
        <v>335</v>
      </c>
      <c r="E18" t="s">
        <v>327</v>
      </c>
      <c r="F18">
        <v>3</v>
      </c>
    </row>
    <row r="19" spans="1:6" x14ac:dyDescent="0.35">
      <c r="A19" t="s">
        <v>38</v>
      </c>
      <c r="B19" t="s">
        <v>39</v>
      </c>
      <c r="C19" t="s">
        <v>38</v>
      </c>
      <c r="D19" t="s">
        <v>335</v>
      </c>
      <c r="E19" t="s">
        <v>327</v>
      </c>
      <c r="F19">
        <v>5</v>
      </c>
    </row>
    <row r="20" spans="1:6" x14ac:dyDescent="0.35">
      <c r="A20" t="s">
        <v>40</v>
      </c>
      <c r="B20" t="s">
        <v>41</v>
      </c>
      <c r="C20" t="s">
        <v>40</v>
      </c>
      <c r="D20" t="s">
        <v>335</v>
      </c>
      <c r="E20" t="s">
        <v>328</v>
      </c>
      <c r="F20">
        <v>13</v>
      </c>
    </row>
    <row r="21" spans="1:6" x14ac:dyDescent="0.35">
      <c r="A21" t="s">
        <v>42</v>
      </c>
      <c r="B21" t="s">
        <v>43</v>
      </c>
      <c r="C21" t="s">
        <v>42</v>
      </c>
      <c r="D21" t="s">
        <v>335</v>
      </c>
      <c r="E21" t="s">
        <v>328</v>
      </c>
      <c r="F21">
        <v>11</v>
      </c>
    </row>
    <row r="22" spans="1:6" x14ac:dyDescent="0.35">
      <c r="A22" t="s">
        <v>44</v>
      </c>
      <c r="B22" t="s">
        <v>45</v>
      </c>
      <c r="C22" t="s">
        <v>44</v>
      </c>
      <c r="D22" t="s">
        <v>335</v>
      </c>
      <c r="E22" t="s">
        <v>327</v>
      </c>
      <c r="F22">
        <v>16</v>
      </c>
    </row>
    <row r="23" spans="1:6" x14ac:dyDescent="0.35">
      <c r="A23" t="s">
        <v>46</v>
      </c>
      <c r="B23" t="s">
        <v>47</v>
      </c>
      <c r="C23" t="s">
        <v>46</v>
      </c>
      <c r="D23" t="s">
        <v>335</v>
      </c>
      <c r="E23" t="s">
        <v>327</v>
      </c>
      <c r="F23">
        <v>13</v>
      </c>
    </row>
    <row r="24" spans="1:6" x14ac:dyDescent="0.35">
      <c r="A24" t="s">
        <v>48</v>
      </c>
      <c r="B24" t="s">
        <v>49</v>
      </c>
      <c r="C24" t="s">
        <v>48</v>
      </c>
      <c r="D24" t="s">
        <v>335</v>
      </c>
      <c r="E24" t="s">
        <v>328</v>
      </c>
      <c r="F24">
        <v>9</v>
      </c>
    </row>
    <row r="25" spans="1:6" x14ac:dyDescent="0.35">
      <c r="A25" t="s">
        <v>50</v>
      </c>
      <c r="B25" t="s">
        <v>51</v>
      </c>
      <c r="C25" t="s">
        <v>50</v>
      </c>
      <c r="D25" t="s">
        <v>335</v>
      </c>
      <c r="E25" t="s">
        <v>327</v>
      </c>
      <c r="F25">
        <v>10</v>
      </c>
    </row>
    <row r="26" spans="1:6" x14ac:dyDescent="0.35">
      <c r="A26" t="s">
        <v>52</v>
      </c>
      <c r="B26" t="s">
        <v>53</v>
      </c>
      <c r="C26" t="s">
        <v>52</v>
      </c>
      <c r="D26" t="s">
        <v>335</v>
      </c>
      <c r="E26" t="s">
        <v>328</v>
      </c>
      <c r="F26">
        <v>18</v>
      </c>
    </row>
    <row r="27" spans="1:6" x14ac:dyDescent="0.35">
      <c r="A27" t="s">
        <v>54</v>
      </c>
      <c r="B27" t="s">
        <v>55</v>
      </c>
      <c r="C27" t="s">
        <v>54</v>
      </c>
      <c r="D27" t="s">
        <v>335</v>
      </c>
      <c r="E27" t="s">
        <v>328</v>
      </c>
      <c r="F27">
        <v>10</v>
      </c>
    </row>
    <row r="28" spans="1:6" x14ac:dyDescent="0.35">
      <c r="A28" t="s">
        <v>56</v>
      </c>
      <c r="B28" t="s">
        <v>57</v>
      </c>
      <c r="C28" t="s">
        <v>56</v>
      </c>
      <c r="D28" t="s">
        <v>335</v>
      </c>
      <c r="E28" t="s">
        <v>327</v>
      </c>
      <c r="F28">
        <v>13</v>
      </c>
    </row>
    <row r="29" spans="1:6" x14ac:dyDescent="0.35">
      <c r="A29" t="s">
        <v>58</v>
      </c>
      <c r="B29" t="s">
        <v>59</v>
      </c>
      <c r="C29" t="s">
        <v>58</v>
      </c>
      <c r="D29" t="s">
        <v>335</v>
      </c>
      <c r="E29" t="s">
        <v>327</v>
      </c>
      <c r="F29">
        <v>16</v>
      </c>
    </row>
    <row r="30" spans="1:6" x14ac:dyDescent="0.35">
      <c r="A30" t="s">
        <v>60</v>
      </c>
      <c r="B30" t="s">
        <v>61</v>
      </c>
      <c r="C30" t="s">
        <v>60</v>
      </c>
      <c r="D30" t="s">
        <v>335</v>
      </c>
      <c r="E30" t="s">
        <v>328</v>
      </c>
      <c r="F30">
        <v>5</v>
      </c>
    </row>
    <row r="31" spans="1:6" x14ac:dyDescent="0.35">
      <c r="A31" t="s">
        <v>62</v>
      </c>
      <c r="B31" t="s">
        <v>63</v>
      </c>
      <c r="C31" t="s">
        <v>62</v>
      </c>
      <c r="D31" t="s">
        <v>335</v>
      </c>
      <c r="E31" t="s">
        <v>327</v>
      </c>
      <c r="F31">
        <v>9</v>
      </c>
    </row>
    <row r="32" spans="1:6" x14ac:dyDescent="0.35">
      <c r="A32" t="s">
        <v>64</v>
      </c>
      <c r="B32" t="s">
        <v>65</v>
      </c>
      <c r="C32" t="s">
        <v>64</v>
      </c>
      <c r="D32" t="s">
        <v>335</v>
      </c>
      <c r="E32" t="s">
        <v>327</v>
      </c>
      <c r="F32">
        <v>17</v>
      </c>
    </row>
    <row r="33" spans="1:6" x14ac:dyDescent="0.35">
      <c r="A33" t="s">
        <v>66</v>
      </c>
      <c r="B33" t="s">
        <v>67</v>
      </c>
      <c r="C33" t="s">
        <v>66</v>
      </c>
      <c r="D33" t="s">
        <v>335</v>
      </c>
      <c r="E33" t="s">
        <v>328</v>
      </c>
      <c r="F33">
        <v>13</v>
      </c>
    </row>
    <row r="34" spans="1:6" x14ac:dyDescent="0.35">
      <c r="A34" t="s">
        <v>68</v>
      </c>
      <c r="B34" t="s">
        <v>69</v>
      </c>
      <c r="C34" t="s">
        <v>68</v>
      </c>
      <c r="D34" t="s">
        <v>335</v>
      </c>
      <c r="E34" t="s">
        <v>328</v>
      </c>
      <c r="F34">
        <v>5</v>
      </c>
    </row>
    <row r="35" spans="1:6" x14ac:dyDescent="0.35">
      <c r="A35" t="s">
        <v>70</v>
      </c>
      <c r="B35" t="s">
        <v>71</v>
      </c>
      <c r="C35" t="s">
        <v>70</v>
      </c>
      <c r="D35" t="s">
        <v>335</v>
      </c>
      <c r="E35" t="s">
        <v>327</v>
      </c>
      <c r="F35">
        <v>12</v>
      </c>
    </row>
    <row r="36" spans="1:6" x14ac:dyDescent="0.35">
      <c r="A36" t="s">
        <v>72</v>
      </c>
      <c r="B36" t="s">
        <v>73</v>
      </c>
      <c r="C36" t="s">
        <v>72</v>
      </c>
      <c r="D36" t="s">
        <v>335</v>
      </c>
      <c r="E36" t="s">
        <v>327</v>
      </c>
      <c r="F36">
        <v>1</v>
      </c>
    </row>
    <row r="37" spans="1:6" x14ac:dyDescent="0.35">
      <c r="A37" t="s">
        <v>74</v>
      </c>
      <c r="B37" t="s">
        <v>75</v>
      </c>
      <c r="C37" t="s">
        <v>74</v>
      </c>
      <c r="D37" t="s">
        <v>335</v>
      </c>
      <c r="E37" t="s">
        <v>328</v>
      </c>
      <c r="F37">
        <v>14</v>
      </c>
    </row>
    <row r="38" spans="1:6" x14ac:dyDescent="0.35">
      <c r="A38" t="s">
        <v>76</v>
      </c>
      <c r="B38" t="s">
        <v>77</v>
      </c>
      <c r="C38" t="s">
        <v>76</v>
      </c>
      <c r="D38" t="s">
        <v>335</v>
      </c>
      <c r="E38" t="s">
        <v>327</v>
      </c>
      <c r="F38">
        <v>4</v>
      </c>
    </row>
    <row r="39" spans="1:6" x14ac:dyDescent="0.35">
      <c r="A39" t="s">
        <v>78</v>
      </c>
      <c r="B39" t="s">
        <v>79</v>
      </c>
      <c r="C39" t="s">
        <v>78</v>
      </c>
      <c r="D39" t="s">
        <v>335</v>
      </c>
      <c r="E39" t="s">
        <v>328</v>
      </c>
      <c r="F39">
        <v>19</v>
      </c>
    </row>
    <row r="40" spans="1:6" x14ac:dyDescent="0.35">
      <c r="A40" t="s">
        <v>81</v>
      </c>
      <c r="B40" t="s">
        <v>82</v>
      </c>
      <c r="C40" t="s">
        <v>81</v>
      </c>
      <c r="D40" t="s">
        <v>335</v>
      </c>
      <c r="E40" t="s">
        <v>328</v>
      </c>
      <c r="F40">
        <v>20</v>
      </c>
    </row>
    <row r="41" spans="1:6" x14ac:dyDescent="0.35">
      <c r="A41" t="s">
        <v>83</v>
      </c>
      <c r="B41" t="s">
        <v>84</v>
      </c>
      <c r="C41" t="s">
        <v>83</v>
      </c>
      <c r="D41" t="s">
        <v>335</v>
      </c>
      <c r="E41" t="s">
        <v>327</v>
      </c>
      <c r="F41">
        <v>19</v>
      </c>
    </row>
    <row r="42" spans="1:6" x14ac:dyDescent="0.35">
      <c r="A42" t="s">
        <v>85</v>
      </c>
      <c r="B42" t="s">
        <v>86</v>
      </c>
      <c r="C42" t="s">
        <v>85</v>
      </c>
      <c r="D42" t="s">
        <v>335</v>
      </c>
      <c r="E42" t="s">
        <v>327</v>
      </c>
      <c r="F42">
        <v>13</v>
      </c>
    </row>
    <row r="43" spans="1:6" x14ac:dyDescent="0.35">
      <c r="A43" t="s">
        <v>87</v>
      </c>
      <c r="B43" t="s">
        <v>88</v>
      </c>
      <c r="C43" t="s">
        <v>87</v>
      </c>
      <c r="D43" t="s">
        <v>335</v>
      </c>
      <c r="E43" t="s">
        <v>328</v>
      </c>
      <c r="F43">
        <v>3</v>
      </c>
    </row>
    <row r="44" spans="1:6" x14ac:dyDescent="0.35">
      <c r="A44" t="s">
        <v>89</v>
      </c>
      <c r="B44" t="s">
        <v>90</v>
      </c>
      <c r="C44" t="s">
        <v>89</v>
      </c>
      <c r="D44" t="s">
        <v>335</v>
      </c>
      <c r="E44" t="s">
        <v>327</v>
      </c>
      <c r="F44">
        <v>8</v>
      </c>
    </row>
    <row r="45" spans="1:6" x14ac:dyDescent="0.35">
      <c r="A45" t="s">
        <v>91</v>
      </c>
      <c r="B45" t="s">
        <v>92</v>
      </c>
      <c r="C45" t="s">
        <v>91</v>
      </c>
      <c r="D45" t="s">
        <v>335</v>
      </c>
      <c r="E45" t="s">
        <v>327</v>
      </c>
      <c r="F45">
        <v>2</v>
      </c>
    </row>
    <row r="46" spans="1:6" x14ac:dyDescent="0.35">
      <c r="A46" t="s">
        <v>93</v>
      </c>
      <c r="B46" t="s">
        <v>94</v>
      </c>
      <c r="C46" t="s">
        <v>93</v>
      </c>
      <c r="D46" t="s">
        <v>335</v>
      </c>
      <c r="E46" t="s">
        <v>328</v>
      </c>
      <c r="F46">
        <v>11</v>
      </c>
    </row>
    <row r="47" spans="1:6" x14ac:dyDescent="0.35">
      <c r="A47" t="s">
        <v>95</v>
      </c>
      <c r="B47" t="s">
        <v>96</v>
      </c>
      <c r="C47" t="s">
        <v>95</v>
      </c>
      <c r="D47" t="s">
        <v>335</v>
      </c>
      <c r="E47" t="s">
        <v>327</v>
      </c>
      <c r="F47">
        <v>7</v>
      </c>
    </row>
    <row r="48" spans="1:6" x14ac:dyDescent="0.35">
      <c r="A48" t="s">
        <v>97</v>
      </c>
      <c r="B48" t="s">
        <v>98</v>
      </c>
      <c r="C48" t="s">
        <v>97</v>
      </c>
      <c r="D48" t="s">
        <v>335</v>
      </c>
      <c r="E48" t="s">
        <v>327</v>
      </c>
      <c r="F48">
        <v>16</v>
      </c>
    </row>
    <row r="49" spans="1:6" x14ac:dyDescent="0.35">
      <c r="A49" t="s">
        <v>99</v>
      </c>
      <c r="B49" t="s">
        <v>100</v>
      </c>
      <c r="C49" t="s">
        <v>99</v>
      </c>
      <c r="D49" t="s">
        <v>335</v>
      </c>
      <c r="E49" t="s">
        <v>328</v>
      </c>
      <c r="F49">
        <v>10</v>
      </c>
    </row>
    <row r="50" spans="1:6" x14ac:dyDescent="0.35">
      <c r="A50" t="s">
        <v>101</v>
      </c>
      <c r="B50" t="s">
        <v>102</v>
      </c>
      <c r="C50" t="s">
        <v>101</v>
      </c>
      <c r="D50" t="s">
        <v>335</v>
      </c>
      <c r="E50" t="s">
        <v>327</v>
      </c>
      <c r="F50">
        <v>20</v>
      </c>
    </row>
    <row r="51" spans="1:6" x14ac:dyDescent="0.35">
      <c r="A51" t="s">
        <v>103</v>
      </c>
      <c r="B51" t="s">
        <v>104</v>
      </c>
      <c r="C51" t="s">
        <v>103</v>
      </c>
      <c r="D51" t="s">
        <v>335</v>
      </c>
      <c r="E51" t="s">
        <v>328</v>
      </c>
      <c r="F51">
        <v>16</v>
      </c>
    </row>
    <row r="52" spans="1:6" x14ac:dyDescent="0.35">
      <c r="A52" t="s">
        <v>105</v>
      </c>
      <c r="B52" t="s">
        <v>106</v>
      </c>
      <c r="C52" t="s">
        <v>105</v>
      </c>
      <c r="D52" t="s">
        <v>335</v>
      </c>
      <c r="E52" t="s">
        <v>328</v>
      </c>
      <c r="F52">
        <v>20</v>
      </c>
    </row>
    <row r="53" spans="1:6" x14ac:dyDescent="0.35">
      <c r="A53" t="s">
        <v>107</v>
      </c>
      <c r="B53" t="s">
        <v>108</v>
      </c>
      <c r="C53" t="s">
        <v>107</v>
      </c>
      <c r="D53" t="s">
        <v>335</v>
      </c>
      <c r="E53" t="s">
        <v>327</v>
      </c>
      <c r="F53">
        <v>6</v>
      </c>
    </row>
    <row r="54" spans="1:6" x14ac:dyDescent="0.35">
      <c r="A54" t="s">
        <v>109</v>
      </c>
      <c r="B54" t="s">
        <v>110</v>
      </c>
      <c r="C54" t="s">
        <v>109</v>
      </c>
      <c r="D54" t="s">
        <v>335</v>
      </c>
      <c r="E54" t="s">
        <v>327</v>
      </c>
      <c r="F54">
        <v>13</v>
      </c>
    </row>
    <row r="55" spans="1:6" x14ac:dyDescent="0.35">
      <c r="A55" t="s">
        <v>111</v>
      </c>
      <c r="B55" t="s">
        <v>112</v>
      </c>
      <c r="C55" t="s">
        <v>111</v>
      </c>
      <c r="D55" t="s">
        <v>335</v>
      </c>
      <c r="E55" t="s">
        <v>328</v>
      </c>
      <c r="F55">
        <v>4</v>
      </c>
    </row>
    <row r="56" spans="1:6" x14ac:dyDescent="0.35">
      <c r="A56" t="s">
        <v>113</v>
      </c>
      <c r="B56" t="s">
        <v>114</v>
      </c>
      <c r="C56" t="s">
        <v>113</v>
      </c>
      <c r="D56" t="s">
        <v>335</v>
      </c>
      <c r="E56" t="s">
        <v>327</v>
      </c>
      <c r="F56">
        <v>5</v>
      </c>
    </row>
    <row r="57" spans="1:6" x14ac:dyDescent="0.35">
      <c r="A57" t="s">
        <v>115</v>
      </c>
      <c r="B57" t="s">
        <v>116</v>
      </c>
      <c r="C57" t="s">
        <v>115</v>
      </c>
      <c r="D57" t="s">
        <v>335</v>
      </c>
      <c r="E57" t="s">
        <v>327</v>
      </c>
      <c r="F57">
        <v>14</v>
      </c>
    </row>
    <row r="58" spans="1:6" x14ac:dyDescent="0.35">
      <c r="A58" t="s">
        <v>117</v>
      </c>
      <c r="B58" t="s">
        <v>118</v>
      </c>
      <c r="C58" t="s">
        <v>117</v>
      </c>
      <c r="D58" t="s">
        <v>335</v>
      </c>
      <c r="E58" t="s">
        <v>328</v>
      </c>
      <c r="F58">
        <v>12</v>
      </c>
    </row>
    <row r="59" spans="1:6" x14ac:dyDescent="0.35">
      <c r="A59" t="s">
        <v>119</v>
      </c>
      <c r="B59" t="s">
        <v>120</v>
      </c>
      <c r="C59" t="s">
        <v>119</v>
      </c>
      <c r="D59" t="s">
        <v>335</v>
      </c>
      <c r="E59" t="s">
        <v>328</v>
      </c>
      <c r="F59">
        <v>19</v>
      </c>
    </row>
    <row r="60" spans="1:6" x14ac:dyDescent="0.35">
      <c r="A60" t="s">
        <v>121</v>
      </c>
      <c r="B60" t="s">
        <v>122</v>
      </c>
      <c r="C60" t="s">
        <v>121</v>
      </c>
      <c r="D60" t="s">
        <v>335</v>
      </c>
      <c r="E60" t="s">
        <v>327</v>
      </c>
      <c r="F60">
        <v>4</v>
      </c>
    </row>
    <row r="61" spans="1:6" x14ac:dyDescent="0.35">
      <c r="A61" t="s">
        <v>124</v>
      </c>
      <c r="B61" t="s">
        <v>125</v>
      </c>
      <c r="C61" t="s">
        <v>124</v>
      </c>
      <c r="D61" t="s">
        <v>335</v>
      </c>
      <c r="E61" t="s">
        <v>327</v>
      </c>
      <c r="F61">
        <v>19</v>
      </c>
    </row>
    <row r="62" spans="1:6" x14ac:dyDescent="0.35">
      <c r="A62" t="s">
        <v>128</v>
      </c>
      <c r="B62" t="s">
        <v>129</v>
      </c>
      <c r="C62" s="5" t="s">
        <v>329</v>
      </c>
      <c r="D62" t="s">
        <v>335</v>
      </c>
      <c r="E62" t="s">
        <v>328</v>
      </c>
      <c r="F62">
        <v>1</v>
      </c>
    </row>
    <row r="63" spans="1:6" x14ac:dyDescent="0.35">
      <c r="A63" t="s">
        <v>128</v>
      </c>
      <c r="B63" t="s">
        <v>129</v>
      </c>
      <c r="C63" s="5" t="s">
        <v>330</v>
      </c>
      <c r="D63" t="s">
        <v>336</v>
      </c>
      <c r="E63" t="s">
        <v>327</v>
      </c>
      <c r="F63">
        <v>3</v>
      </c>
    </row>
    <row r="64" spans="1:6" x14ac:dyDescent="0.35">
      <c r="A64" t="s">
        <v>131</v>
      </c>
      <c r="B64" t="s">
        <v>132</v>
      </c>
      <c r="C64" s="5" t="s">
        <v>331</v>
      </c>
      <c r="D64" t="s">
        <v>335</v>
      </c>
      <c r="E64" t="s">
        <v>328</v>
      </c>
      <c r="F64">
        <v>5</v>
      </c>
    </row>
    <row r="65" spans="1:6" x14ac:dyDescent="0.35">
      <c r="A65" t="s">
        <v>131</v>
      </c>
      <c r="B65" t="s">
        <v>132</v>
      </c>
      <c r="C65" s="5" t="s">
        <v>332</v>
      </c>
      <c r="D65" t="s">
        <v>336</v>
      </c>
      <c r="E65" t="s">
        <v>327</v>
      </c>
      <c r="F65">
        <v>1</v>
      </c>
    </row>
    <row r="66" spans="1:6" x14ac:dyDescent="0.35">
      <c r="A66" t="s">
        <v>133</v>
      </c>
      <c r="B66" t="s">
        <v>134</v>
      </c>
      <c r="C66" t="s">
        <v>133</v>
      </c>
      <c r="D66" t="s">
        <v>335</v>
      </c>
      <c r="E66" t="s">
        <v>327</v>
      </c>
      <c r="F66">
        <v>10</v>
      </c>
    </row>
    <row r="67" spans="1:6" x14ac:dyDescent="0.35">
      <c r="A67" t="s">
        <v>135</v>
      </c>
      <c r="B67" t="s">
        <v>136</v>
      </c>
      <c r="C67" t="s">
        <v>135</v>
      </c>
      <c r="D67" t="s">
        <v>335</v>
      </c>
      <c r="E67" t="s">
        <v>327</v>
      </c>
      <c r="F67">
        <v>15</v>
      </c>
    </row>
    <row r="68" spans="1:6" x14ac:dyDescent="0.35">
      <c r="A68" t="s">
        <v>138</v>
      </c>
      <c r="B68" t="s">
        <v>139</v>
      </c>
      <c r="C68" t="s">
        <v>138</v>
      </c>
      <c r="D68" t="s">
        <v>335</v>
      </c>
      <c r="E68" t="s">
        <v>328</v>
      </c>
      <c r="F68">
        <v>7</v>
      </c>
    </row>
    <row r="69" spans="1:6" x14ac:dyDescent="0.35">
      <c r="A69" t="s">
        <v>140</v>
      </c>
      <c r="B69" t="s">
        <v>141</v>
      </c>
      <c r="C69" t="s">
        <v>140</v>
      </c>
      <c r="D69" t="s">
        <v>335</v>
      </c>
      <c r="E69" t="s">
        <v>327</v>
      </c>
      <c r="F69">
        <v>5</v>
      </c>
    </row>
    <row r="70" spans="1:6" x14ac:dyDescent="0.35">
      <c r="A70" t="s">
        <v>142</v>
      </c>
      <c r="B70" t="s">
        <v>143</v>
      </c>
      <c r="C70" s="5" t="s">
        <v>357</v>
      </c>
      <c r="D70" t="s">
        <v>335</v>
      </c>
      <c r="E70" t="s">
        <v>327</v>
      </c>
      <c r="F70">
        <v>8</v>
      </c>
    </row>
    <row r="71" spans="1:6" x14ac:dyDescent="0.35">
      <c r="A71" t="s">
        <v>142</v>
      </c>
      <c r="B71" t="s">
        <v>143</v>
      </c>
      <c r="C71" s="5" t="s">
        <v>358</v>
      </c>
      <c r="D71" t="s">
        <v>336</v>
      </c>
      <c r="E71" t="s">
        <v>327</v>
      </c>
      <c r="F71">
        <v>6</v>
      </c>
    </row>
    <row r="72" spans="1:6" x14ac:dyDescent="0.35">
      <c r="A72" t="s">
        <v>144</v>
      </c>
      <c r="B72" t="s">
        <v>145</v>
      </c>
      <c r="C72" s="5" t="s">
        <v>333</v>
      </c>
      <c r="D72" t="s">
        <v>335</v>
      </c>
      <c r="E72" t="s">
        <v>327</v>
      </c>
      <c r="F72">
        <v>1</v>
      </c>
    </row>
    <row r="73" spans="1:6" x14ac:dyDescent="0.35">
      <c r="A73" t="s">
        <v>144</v>
      </c>
      <c r="B73" t="s">
        <v>145</v>
      </c>
      <c r="C73" s="5" t="s">
        <v>334</v>
      </c>
      <c r="D73" t="s">
        <v>336</v>
      </c>
      <c r="E73" t="s">
        <v>327</v>
      </c>
      <c r="F73">
        <v>14</v>
      </c>
    </row>
    <row r="74" spans="1:6" x14ac:dyDescent="0.35">
      <c r="A74" t="s">
        <v>146</v>
      </c>
      <c r="B74" t="s">
        <v>147</v>
      </c>
      <c r="C74" s="5" t="s">
        <v>355</v>
      </c>
      <c r="D74" t="s">
        <v>335</v>
      </c>
      <c r="E74" t="s">
        <v>327</v>
      </c>
      <c r="F74">
        <v>19</v>
      </c>
    </row>
    <row r="75" spans="1:6" x14ac:dyDescent="0.35">
      <c r="A75" t="s">
        <v>146</v>
      </c>
      <c r="B75" t="s">
        <v>147</v>
      </c>
      <c r="C75" s="5" t="s">
        <v>356</v>
      </c>
      <c r="D75" t="s">
        <v>336</v>
      </c>
      <c r="E75" t="s">
        <v>327</v>
      </c>
      <c r="F75">
        <v>5</v>
      </c>
    </row>
    <row r="76" spans="1:6" x14ac:dyDescent="0.35">
      <c r="A76" t="s">
        <v>148</v>
      </c>
      <c r="B76" t="s">
        <v>149</v>
      </c>
      <c r="C76" s="5" t="s">
        <v>360</v>
      </c>
      <c r="D76" t="s">
        <v>335</v>
      </c>
      <c r="E76" t="s">
        <v>327</v>
      </c>
      <c r="F76">
        <v>4</v>
      </c>
    </row>
    <row r="77" spans="1:6" x14ac:dyDescent="0.35">
      <c r="A77" t="s">
        <v>148</v>
      </c>
      <c r="B77" t="s">
        <v>149</v>
      </c>
      <c r="C77" s="5" t="s">
        <v>359</v>
      </c>
      <c r="D77" t="s">
        <v>336</v>
      </c>
      <c r="E77" t="s">
        <v>327</v>
      </c>
      <c r="F77">
        <v>1</v>
      </c>
    </row>
    <row r="78" spans="1:6" x14ac:dyDescent="0.35">
      <c r="A78" t="s">
        <v>151</v>
      </c>
      <c r="B78" t="s">
        <v>152</v>
      </c>
      <c r="C78" t="s">
        <v>151</v>
      </c>
      <c r="D78" t="s">
        <v>335</v>
      </c>
      <c r="E78" t="s">
        <v>328</v>
      </c>
      <c r="F78">
        <v>10</v>
      </c>
    </row>
    <row r="79" spans="1:6" x14ac:dyDescent="0.35">
      <c r="A79" t="s">
        <v>154</v>
      </c>
      <c r="B79" t="s">
        <v>155</v>
      </c>
      <c r="C79" t="s">
        <v>154</v>
      </c>
      <c r="D79" t="s">
        <v>335</v>
      </c>
      <c r="E79" t="s">
        <v>327</v>
      </c>
      <c r="F79">
        <v>1</v>
      </c>
    </row>
    <row r="80" spans="1:6" x14ac:dyDescent="0.35">
      <c r="A80" t="s">
        <v>157</v>
      </c>
      <c r="B80" t="s">
        <v>158</v>
      </c>
      <c r="C80" t="s">
        <v>157</v>
      </c>
      <c r="D80" t="s">
        <v>335</v>
      </c>
      <c r="E80" t="s">
        <v>328</v>
      </c>
      <c r="F80">
        <v>4</v>
      </c>
    </row>
    <row r="81" spans="1:6" x14ac:dyDescent="0.35">
      <c r="A81" t="s">
        <v>160</v>
      </c>
      <c r="B81" t="s">
        <v>161</v>
      </c>
      <c r="C81" t="s">
        <v>160</v>
      </c>
      <c r="D81" t="s">
        <v>335</v>
      </c>
      <c r="E81" t="s">
        <v>328</v>
      </c>
      <c r="F81">
        <v>10</v>
      </c>
    </row>
    <row r="82" spans="1:6" x14ac:dyDescent="0.35">
      <c r="A82" t="s">
        <v>163</v>
      </c>
      <c r="B82" t="s">
        <v>164</v>
      </c>
      <c r="C82" t="s">
        <v>163</v>
      </c>
      <c r="D82" t="s">
        <v>335</v>
      </c>
      <c r="E82" t="s">
        <v>327</v>
      </c>
      <c r="F82">
        <v>15</v>
      </c>
    </row>
    <row r="83" spans="1:6" x14ac:dyDescent="0.35">
      <c r="A83" t="s">
        <v>165</v>
      </c>
      <c r="B83" t="s">
        <v>166</v>
      </c>
      <c r="C83" t="s">
        <v>165</v>
      </c>
      <c r="D83" t="s">
        <v>335</v>
      </c>
      <c r="E83" t="s">
        <v>327</v>
      </c>
      <c r="F83">
        <v>20</v>
      </c>
    </row>
    <row r="84" spans="1:6" x14ac:dyDescent="0.35">
      <c r="A84" t="s">
        <v>167</v>
      </c>
      <c r="B84" t="s">
        <v>168</v>
      </c>
      <c r="C84" t="s">
        <v>167</v>
      </c>
      <c r="D84" t="s">
        <v>335</v>
      </c>
      <c r="E84" t="s">
        <v>328</v>
      </c>
      <c r="F84">
        <v>6</v>
      </c>
    </row>
    <row r="85" spans="1:6" x14ac:dyDescent="0.35">
      <c r="A85" t="s">
        <v>169</v>
      </c>
      <c r="B85" t="s">
        <v>170</v>
      </c>
      <c r="C85" t="s">
        <v>169</v>
      </c>
      <c r="D85" t="s">
        <v>335</v>
      </c>
      <c r="E85" t="s">
        <v>327</v>
      </c>
      <c r="F85">
        <v>6</v>
      </c>
    </row>
    <row r="86" spans="1:6" x14ac:dyDescent="0.35">
      <c r="A86" t="s">
        <v>172</v>
      </c>
      <c r="B86" t="s">
        <v>173</v>
      </c>
      <c r="C86" t="s">
        <v>172</v>
      </c>
      <c r="D86" t="s">
        <v>335</v>
      </c>
      <c r="E86" t="s">
        <v>327</v>
      </c>
      <c r="F86">
        <v>20</v>
      </c>
    </row>
    <row r="87" spans="1:6" x14ac:dyDescent="0.35">
      <c r="A87" t="s">
        <v>174</v>
      </c>
      <c r="B87" t="s">
        <v>175</v>
      </c>
      <c r="C87" t="s">
        <v>174</v>
      </c>
      <c r="D87" t="s">
        <v>335</v>
      </c>
      <c r="E87" t="s">
        <v>328</v>
      </c>
      <c r="F87">
        <v>20</v>
      </c>
    </row>
    <row r="88" spans="1:6" x14ac:dyDescent="0.35">
      <c r="A88" t="s">
        <v>176</v>
      </c>
      <c r="B88" t="s">
        <v>177</v>
      </c>
      <c r="C88" t="s">
        <v>176</v>
      </c>
      <c r="D88" t="s">
        <v>335</v>
      </c>
      <c r="E88" t="s">
        <v>328</v>
      </c>
      <c r="F88">
        <v>8</v>
      </c>
    </row>
    <row r="89" spans="1:6" x14ac:dyDescent="0.35">
      <c r="A89" t="s">
        <v>178</v>
      </c>
      <c r="B89" t="s">
        <v>179</v>
      </c>
      <c r="C89" t="s">
        <v>178</v>
      </c>
      <c r="D89" t="s">
        <v>335</v>
      </c>
      <c r="E89" t="s">
        <v>327</v>
      </c>
      <c r="F89">
        <v>19</v>
      </c>
    </row>
    <row r="90" spans="1:6" x14ac:dyDescent="0.35">
      <c r="A90" t="s">
        <v>180</v>
      </c>
      <c r="B90" t="s">
        <v>181</v>
      </c>
      <c r="C90" t="s">
        <v>180</v>
      </c>
      <c r="D90" t="s">
        <v>335</v>
      </c>
      <c r="E90" t="s">
        <v>327</v>
      </c>
      <c r="F90">
        <v>8</v>
      </c>
    </row>
    <row r="91" spans="1:6" x14ac:dyDescent="0.35">
      <c r="A91" t="s">
        <v>183</v>
      </c>
      <c r="B91" t="s">
        <v>184</v>
      </c>
      <c r="C91" t="s">
        <v>183</v>
      </c>
      <c r="D91" t="s">
        <v>335</v>
      </c>
      <c r="E91" t="s">
        <v>328</v>
      </c>
      <c r="F91">
        <v>20</v>
      </c>
    </row>
    <row r="92" spans="1:6" x14ac:dyDescent="0.35">
      <c r="A92" t="s">
        <v>186</v>
      </c>
      <c r="B92" t="s">
        <v>187</v>
      </c>
      <c r="C92" t="s">
        <v>186</v>
      </c>
      <c r="D92" t="s">
        <v>335</v>
      </c>
      <c r="E92" t="s">
        <v>327</v>
      </c>
      <c r="F92">
        <v>20</v>
      </c>
    </row>
    <row r="93" spans="1:6" x14ac:dyDescent="0.35">
      <c r="A93" t="s">
        <v>188</v>
      </c>
      <c r="B93" t="s">
        <v>189</v>
      </c>
      <c r="C93" t="s">
        <v>188</v>
      </c>
      <c r="D93" t="s">
        <v>335</v>
      </c>
      <c r="E93" t="s">
        <v>328</v>
      </c>
      <c r="F93">
        <v>6</v>
      </c>
    </row>
    <row r="94" spans="1:6" x14ac:dyDescent="0.35">
      <c r="A94" t="s">
        <v>191</v>
      </c>
      <c r="B94" t="s">
        <v>192</v>
      </c>
      <c r="C94" t="s">
        <v>191</v>
      </c>
      <c r="D94" t="s">
        <v>335</v>
      </c>
      <c r="E94" t="s">
        <v>328</v>
      </c>
      <c r="F94">
        <v>18</v>
      </c>
    </row>
    <row r="95" spans="1:6" x14ac:dyDescent="0.35">
      <c r="A95" t="s">
        <v>193</v>
      </c>
      <c r="B95" t="s">
        <v>194</v>
      </c>
      <c r="C95" t="s">
        <v>193</v>
      </c>
      <c r="D95" t="s">
        <v>335</v>
      </c>
      <c r="E95" t="s">
        <v>327</v>
      </c>
      <c r="F95">
        <v>2</v>
      </c>
    </row>
    <row r="96" spans="1:6" x14ac:dyDescent="0.35">
      <c r="A96" t="s">
        <v>196</v>
      </c>
      <c r="B96" t="s">
        <v>197</v>
      </c>
      <c r="C96" t="s">
        <v>196</v>
      </c>
      <c r="D96" t="s">
        <v>335</v>
      </c>
      <c r="E96" t="s">
        <v>327</v>
      </c>
      <c r="F96">
        <v>16</v>
      </c>
    </row>
    <row r="97" spans="1:6" x14ac:dyDescent="0.35">
      <c r="A97" t="s">
        <v>198</v>
      </c>
      <c r="B97" t="s">
        <v>199</v>
      </c>
      <c r="C97" t="s">
        <v>198</v>
      </c>
      <c r="D97" t="s">
        <v>335</v>
      </c>
      <c r="E97" t="s">
        <v>328</v>
      </c>
      <c r="F97">
        <v>18</v>
      </c>
    </row>
    <row r="98" spans="1:6" x14ac:dyDescent="0.35">
      <c r="A98" t="s">
        <v>200</v>
      </c>
      <c r="B98" t="s">
        <v>201</v>
      </c>
      <c r="C98" t="s">
        <v>200</v>
      </c>
      <c r="D98" t="s">
        <v>335</v>
      </c>
      <c r="E98" t="s">
        <v>327</v>
      </c>
      <c r="F98">
        <v>15</v>
      </c>
    </row>
    <row r="99" spans="1:6" x14ac:dyDescent="0.35">
      <c r="A99" t="s">
        <v>203</v>
      </c>
      <c r="B99" t="s">
        <v>204</v>
      </c>
      <c r="C99" t="s">
        <v>203</v>
      </c>
      <c r="D99" t="s">
        <v>335</v>
      </c>
      <c r="E99" t="s">
        <v>327</v>
      </c>
      <c r="F99">
        <v>19</v>
      </c>
    </row>
    <row r="100" spans="1:6" x14ac:dyDescent="0.35">
      <c r="A100" t="s">
        <v>205</v>
      </c>
      <c r="B100" t="s">
        <v>206</v>
      </c>
      <c r="C100" t="s">
        <v>205</v>
      </c>
      <c r="D100" t="s">
        <v>335</v>
      </c>
      <c r="E100" t="s">
        <v>328</v>
      </c>
      <c r="F100">
        <v>11</v>
      </c>
    </row>
    <row r="101" spans="1:6" x14ac:dyDescent="0.35">
      <c r="A101" t="s">
        <v>207</v>
      </c>
      <c r="B101" t="s">
        <v>208</v>
      </c>
      <c r="C101" t="s">
        <v>207</v>
      </c>
      <c r="D101" t="s">
        <v>335</v>
      </c>
      <c r="E101" t="s">
        <v>328</v>
      </c>
      <c r="F101">
        <v>3</v>
      </c>
    </row>
    <row r="102" spans="1:6" x14ac:dyDescent="0.35">
      <c r="A102" t="s">
        <v>209</v>
      </c>
      <c r="B102" t="s">
        <v>210</v>
      </c>
      <c r="C102" t="s">
        <v>209</v>
      </c>
      <c r="D102" t="s">
        <v>335</v>
      </c>
      <c r="E102" t="s">
        <v>327</v>
      </c>
      <c r="F102">
        <v>4</v>
      </c>
    </row>
    <row r="103" spans="1:6" x14ac:dyDescent="0.35">
      <c r="A103" t="s">
        <v>212</v>
      </c>
      <c r="B103" t="s">
        <v>213</v>
      </c>
      <c r="C103" t="s">
        <v>212</v>
      </c>
      <c r="D103" t="s">
        <v>335</v>
      </c>
      <c r="E103" t="s">
        <v>327</v>
      </c>
      <c r="F103">
        <v>13</v>
      </c>
    </row>
    <row r="104" spans="1:6" x14ac:dyDescent="0.35">
      <c r="A104" t="s">
        <v>214</v>
      </c>
      <c r="B104" t="s">
        <v>215</v>
      </c>
      <c r="C104" t="s">
        <v>214</v>
      </c>
      <c r="D104" t="s">
        <v>335</v>
      </c>
      <c r="E104" t="s">
        <v>328</v>
      </c>
      <c r="F104">
        <v>20</v>
      </c>
    </row>
    <row r="105" spans="1:6" x14ac:dyDescent="0.35">
      <c r="A105" t="s">
        <v>217</v>
      </c>
      <c r="B105" t="s">
        <v>218</v>
      </c>
      <c r="C105" t="s">
        <v>217</v>
      </c>
      <c r="D105" t="s">
        <v>335</v>
      </c>
      <c r="E105" t="s">
        <v>327</v>
      </c>
      <c r="F105">
        <v>19</v>
      </c>
    </row>
    <row r="106" spans="1:6" x14ac:dyDescent="0.35">
      <c r="A106" t="s">
        <v>219</v>
      </c>
      <c r="B106" t="s">
        <v>220</v>
      </c>
      <c r="C106" t="s">
        <v>219</v>
      </c>
      <c r="D106" t="s">
        <v>335</v>
      </c>
      <c r="E106" t="s">
        <v>328</v>
      </c>
      <c r="F106">
        <v>5</v>
      </c>
    </row>
    <row r="107" spans="1:6" x14ac:dyDescent="0.35">
      <c r="A107" t="s">
        <v>221</v>
      </c>
      <c r="B107" t="s">
        <v>222</v>
      </c>
      <c r="C107" t="s">
        <v>221</v>
      </c>
      <c r="D107" t="s">
        <v>335</v>
      </c>
      <c r="E107" t="s">
        <v>328</v>
      </c>
      <c r="F107">
        <v>14</v>
      </c>
    </row>
    <row r="108" spans="1:6" x14ac:dyDescent="0.35">
      <c r="A108" t="s">
        <v>223</v>
      </c>
      <c r="B108" t="s">
        <v>224</v>
      </c>
      <c r="C108" t="s">
        <v>223</v>
      </c>
      <c r="D108" t="s">
        <v>335</v>
      </c>
      <c r="E108" t="s">
        <v>327</v>
      </c>
      <c r="F108">
        <v>6</v>
      </c>
    </row>
    <row r="109" spans="1:6" x14ac:dyDescent="0.35">
      <c r="A109" t="s">
        <v>225</v>
      </c>
      <c r="B109" t="s">
        <v>226</v>
      </c>
      <c r="C109" t="s">
        <v>225</v>
      </c>
      <c r="D109" t="s">
        <v>335</v>
      </c>
      <c r="E109" t="s">
        <v>327</v>
      </c>
      <c r="F109">
        <v>2</v>
      </c>
    </row>
    <row r="110" spans="1:6" x14ac:dyDescent="0.35">
      <c r="A110" t="s">
        <v>227</v>
      </c>
      <c r="B110" t="s">
        <v>228</v>
      </c>
      <c r="C110" t="s">
        <v>227</v>
      </c>
      <c r="D110" t="s">
        <v>335</v>
      </c>
      <c r="E110" t="s">
        <v>328</v>
      </c>
      <c r="F110">
        <v>8</v>
      </c>
    </row>
    <row r="111" spans="1:6" x14ac:dyDescent="0.35">
      <c r="A111" t="s">
        <v>229</v>
      </c>
      <c r="B111" t="s">
        <v>230</v>
      </c>
      <c r="C111" t="s">
        <v>229</v>
      </c>
      <c r="D111" t="s">
        <v>335</v>
      </c>
      <c r="E111" t="s">
        <v>327</v>
      </c>
      <c r="F111">
        <v>5</v>
      </c>
    </row>
    <row r="112" spans="1:6" x14ac:dyDescent="0.35">
      <c r="A112" t="s">
        <v>231</v>
      </c>
      <c r="B112" t="s">
        <v>232</v>
      </c>
      <c r="C112" t="s">
        <v>231</v>
      </c>
      <c r="D112" t="s">
        <v>335</v>
      </c>
      <c r="E112" t="s">
        <v>327</v>
      </c>
      <c r="F112">
        <v>10</v>
      </c>
    </row>
    <row r="113" spans="1:6" x14ac:dyDescent="0.35">
      <c r="A113" t="s">
        <v>233</v>
      </c>
      <c r="B113" t="s">
        <v>234</v>
      </c>
      <c r="C113" t="s">
        <v>233</v>
      </c>
      <c r="D113" t="s">
        <v>335</v>
      </c>
      <c r="E113" t="s">
        <v>328</v>
      </c>
      <c r="F113">
        <v>4</v>
      </c>
    </row>
    <row r="114" spans="1:6" x14ac:dyDescent="0.35">
      <c r="A114" t="s">
        <v>236</v>
      </c>
      <c r="B114" t="s">
        <v>237</v>
      </c>
      <c r="C114" t="s">
        <v>236</v>
      </c>
      <c r="D114" t="s">
        <v>335</v>
      </c>
      <c r="E114" t="s">
        <v>328</v>
      </c>
      <c r="F114">
        <v>12</v>
      </c>
    </row>
    <row r="115" spans="1:6" x14ac:dyDescent="0.35">
      <c r="A115" t="s">
        <v>238</v>
      </c>
      <c r="B115" t="s">
        <v>239</v>
      </c>
      <c r="C115" t="s">
        <v>238</v>
      </c>
      <c r="D115" t="s">
        <v>335</v>
      </c>
      <c r="E115" t="s">
        <v>327</v>
      </c>
      <c r="F115">
        <v>20</v>
      </c>
    </row>
    <row r="116" spans="1:6" x14ac:dyDescent="0.35">
      <c r="A116" t="s">
        <v>241</v>
      </c>
      <c r="B116" t="s">
        <v>242</v>
      </c>
      <c r="C116" t="s">
        <v>241</v>
      </c>
      <c r="D116" t="s">
        <v>335</v>
      </c>
      <c r="E116" t="s">
        <v>327</v>
      </c>
      <c r="F116">
        <v>18</v>
      </c>
    </row>
    <row r="117" spans="1:6" x14ac:dyDescent="0.35">
      <c r="A117" t="s">
        <v>243</v>
      </c>
      <c r="B117" t="s">
        <v>244</v>
      </c>
      <c r="C117" t="s">
        <v>243</v>
      </c>
      <c r="D117" t="s">
        <v>335</v>
      </c>
      <c r="E117" t="s">
        <v>328</v>
      </c>
      <c r="F117">
        <v>5</v>
      </c>
    </row>
    <row r="118" spans="1:6" x14ac:dyDescent="0.35">
      <c r="A118" t="s">
        <v>245</v>
      </c>
      <c r="B118" t="s">
        <v>246</v>
      </c>
      <c r="C118" t="s">
        <v>245</v>
      </c>
      <c r="D118" t="s">
        <v>335</v>
      </c>
      <c r="E118" t="s">
        <v>327</v>
      </c>
      <c r="F118">
        <v>5</v>
      </c>
    </row>
    <row r="119" spans="1:6" x14ac:dyDescent="0.35">
      <c r="A119" t="s">
        <v>247</v>
      </c>
      <c r="B119" t="s">
        <v>248</v>
      </c>
      <c r="C119" t="s">
        <v>247</v>
      </c>
      <c r="D119" t="s">
        <v>335</v>
      </c>
      <c r="E119" t="s">
        <v>328</v>
      </c>
      <c r="F119">
        <v>19</v>
      </c>
    </row>
    <row r="120" spans="1:6" x14ac:dyDescent="0.35">
      <c r="A120" t="s">
        <v>249</v>
      </c>
      <c r="B120" t="s">
        <v>250</v>
      </c>
      <c r="C120" t="s">
        <v>249</v>
      </c>
      <c r="D120" t="s">
        <v>335</v>
      </c>
      <c r="E120" t="s">
        <v>328</v>
      </c>
      <c r="F120">
        <v>12</v>
      </c>
    </row>
    <row r="121" spans="1:6" x14ac:dyDescent="0.35">
      <c r="A121" t="s">
        <v>251</v>
      </c>
      <c r="B121" t="s">
        <v>252</v>
      </c>
      <c r="C121" t="s">
        <v>251</v>
      </c>
      <c r="D121" t="s">
        <v>335</v>
      </c>
      <c r="E121" t="s">
        <v>327</v>
      </c>
      <c r="F121">
        <v>6</v>
      </c>
    </row>
    <row r="122" spans="1:6" x14ac:dyDescent="0.35">
      <c r="A122" t="s">
        <v>253</v>
      </c>
      <c r="B122" t="s">
        <v>254</v>
      </c>
      <c r="C122" t="s">
        <v>253</v>
      </c>
      <c r="D122" t="s">
        <v>335</v>
      </c>
      <c r="E122" t="s">
        <v>327</v>
      </c>
      <c r="F122">
        <v>16</v>
      </c>
    </row>
    <row r="123" spans="1:6" x14ac:dyDescent="0.35">
      <c r="A123" t="s">
        <v>255</v>
      </c>
      <c r="B123" t="s">
        <v>256</v>
      </c>
      <c r="C123" t="s">
        <v>255</v>
      </c>
      <c r="D123" t="s">
        <v>335</v>
      </c>
      <c r="E123" t="s">
        <v>328</v>
      </c>
      <c r="F123">
        <v>17</v>
      </c>
    </row>
    <row r="124" spans="1:6" x14ac:dyDescent="0.35">
      <c r="A124" t="s">
        <v>257</v>
      </c>
      <c r="B124" t="s">
        <v>258</v>
      </c>
      <c r="C124" t="s">
        <v>257</v>
      </c>
      <c r="D124" t="s">
        <v>335</v>
      </c>
      <c r="E124" t="s">
        <v>327</v>
      </c>
      <c r="F124">
        <v>19</v>
      </c>
    </row>
    <row r="125" spans="1:6" x14ac:dyDescent="0.35">
      <c r="A125" t="s">
        <v>259</v>
      </c>
      <c r="B125" t="s">
        <v>260</v>
      </c>
      <c r="C125" t="s">
        <v>259</v>
      </c>
      <c r="D125" t="s">
        <v>335</v>
      </c>
      <c r="E125" t="s">
        <v>327</v>
      </c>
      <c r="F125">
        <v>6</v>
      </c>
    </row>
    <row r="126" spans="1:6" x14ac:dyDescent="0.35">
      <c r="A126" t="s">
        <v>261</v>
      </c>
      <c r="B126" t="s">
        <v>262</v>
      </c>
      <c r="C126" t="s">
        <v>261</v>
      </c>
      <c r="D126" t="s">
        <v>335</v>
      </c>
      <c r="E126" t="s">
        <v>328</v>
      </c>
      <c r="F126">
        <v>15</v>
      </c>
    </row>
    <row r="127" spans="1:6" x14ac:dyDescent="0.35">
      <c r="A127" t="s">
        <v>263</v>
      </c>
      <c r="B127" t="s">
        <v>264</v>
      </c>
      <c r="C127" t="s">
        <v>263</v>
      </c>
      <c r="D127" t="s">
        <v>335</v>
      </c>
      <c r="E127" t="s">
        <v>328</v>
      </c>
      <c r="F127">
        <v>7</v>
      </c>
    </row>
    <row r="128" spans="1:6" x14ac:dyDescent="0.35">
      <c r="A128" t="s">
        <v>266</v>
      </c>
      <c r="B128" t="s">
        <v>267</v>
      </c>
      <c r="C128" t="s">
        <v>266</v>
      </c>
      <c r="D128" t="s">
        <v>335</v>
      </c>
      <c r="E128" t="s">
        <v>327</v>
      </c>
      <c r="F128">
        <v>20</v>
      </c>
    </row>
    <row r="129" spans="1:6" x14ac:dyDescent="0.35">
      <c r="A129" t="s">
        <v>268</v>
      </c>
      <c r="B129" t="s">
        <v>269</v>
      </c>
      <c r="C129" t="s">
        <v>268</v>
      </c>
      <c r="D129" t="s">
        <v>335</v>
      </c>
      <c r="E129" t="s">
        <v>327</v>
      </c>
      <c r="F129">
        <v>9</v>
      </c>
    </row>
    <row r="130" spans="1:6" x14ac:dyDescent="0.35">
      <c r="A130" t="s">
        <v>270</v>
      </c>
      <c r="B130" t="s">
        <v>271</v>
      </c>
      <c r="C130" t="s">
        <v>270</v>
      </c>
      <c r="D130" t="s">
        <v>335</v>
      </c>
      <c r="E130" t="s">
        <v>328</v>
      </c>
      <c r="F130">
        <v>9</v>
      </c>
    </row>
    <row r="131" spans="1:6" x14ac:dyDescent="0.35">
      <c r="A131" t="s">
        <v>272</v>
      </c>
      <c r="B131" t="s">
        <v>273</v>
      </c>
      <c r="C131" t="s">
        <v>272</v>
      </c>
      <c r="D131" t="s">
        <v>335</v>
      </c>
      <c r="E131" t="s">
        <v>327</v>
      </c>
      <c r="F131">
        <v>1</v>
      </c>
    </row>
    <row r="132" spans="1:6" x14ac:dyDescent="0.35">
      <c r="A132" t="s">
        <v>274</v>
      </c>
      <c r="B132" t="s">
        <v>275</v>
      </c>
      <c r="C132" t="s">
        <v>274</v>
      </c>
      <c r="D132" t="s">
        <v>335</v>
      </c>
      <c r="E132" t="s">
        <v>328</v>
      </c>
      <c r="F132">
        <v>11</v>
      </c>
    </row>
    <row r="133" spans="1:6" x14ac:dyDescent="0.35">
      <c r="A133" t="s">
        <v>276</v>
      </c>
      <c r="B133" t="s">
        <v>277</v>
      </c>
      <c r="C133" t="s">
        <v>276</v>
      </c>
      <c r="D133" t="s">
        <v>335</v>
      </c>
      <c r="E133" t="s">
        <v>328</v>
      </c>
      <c r="F133">
        <v>16</v>
      </c>
    </row>
    <row r="134" spans="1:6" x14ac:dyDescent="0.35">
      <c r="A134" t="s">
        <v>278</v>
      </c>
      <c r="B134" t="s">
        <v>279</v>
      </c>
      <c r="C134" t="s">
        <v>278</v>
      </c>
      <c r="D134" t="s">
        <v>335</v>
      </c>
      <c r="E134" t="s">
        <v>327</v>
      </c>
      <c r="F134">
        <v>7</v>
      </c>
    </row>
    <row r="135" spans="1:6" x14ac:dyDescent="0.35">
      <c r="A135" t="s">
        <v>280</v>
      </c>
      <c r="B135" t="s">
        <v>281</v>
      </c>
      <c r="C135" t="s">
        <v>280</v>
      </c>
      <c r="D135" t="s">
        <v>335</v>
      </c>
      <c r="E135" t="s">
        <v>327</v>
      </c>
      <c r="F135">
        <v>10</v>
      </c>
    </row>
    <row r="136" spans="1:6" x14ac:dyDescent="0.35">
      <c r="A136" t="s">
        <v>282</v>
      </c>
      <c r="B136" t="s">
        <v>283</v>
      </c>
      <c r="C136" t="s">
        <v>282</v>
      </c>
      <c r="D136" t="s">
        <v>335</v>
      </c>
      <c r="E136" t="s">
        <v>328</v>
      </c>
      <c r="F136">
        <v>10</v>
      </c>
    </row>
    <row r="137" spans="1:6" x14ac:dyDescent="0.35">
      <c r="A137" t="s">
        <v>284</v>
      </c>
      <c r="B137" t="s">
        <v>285</v>
      </c>
      <c r="C137" t="s">
        <v>284</v>
      </c>
      <c r="D137" t="s">
        <v>335</v>
      </c>
      <c r="E137" t="s">
        <v>327</v>
      </c>
      <c r="F137">
        <v>4</v>
      </c>
    </row>
    <row r="138" spans="1:6" x14ac:dyDescent="0.35">
      <c r="A138" t="s">
        <v>286</v>
      </c>
      <c r="B138" t="s">
        <v>287</v>
      </c>
      <c r="C138" t="s">
        <v>286</v>
      </c>
      <c r="D138" t="s">
        <v>335</v>
      </c>
      <c r="E138" t="s">
        <v>327</v>
      </c>
      <c r="F138">
        <v>11</v>
      </c>
    </row>
    <row r="139" spans="1:6" x14ac:dyDescent="0.35">
      <c r="A139" t="s">
        <v>288</v>
      </c>
      <c r="B139" t="s">
        <v>289</v>
      </c>
      <c r="C139" t="s">
        <v>288</v>
      </c>
      <c r="D139" t="s">
        <v>335</v>
      </c>
      <c r="E139" t="s">
        <v>328</v>
      </c>
      <c r="F139">
        <v>20</v>
      </c>
    </row>
    <row r="140" spans="1:6" x14ac:dyDescent="0.35">
      <c r="A140" t="s">
        <v>290</v>
      </c>
      <c r="B140" t="s">
        <v>291</v>
      </c>
      <c r="C140" t="s">
        <v>290</v>
      </c>
      <c r="D140" t="s">
        <v>335</v>
      </c>
      <c r="E140" t="s">
        <v>328</v>
      </c>
      <c r="F140">
        <v>6</v>
      </c>
    </row>
    <row r="141" spans="1:6" x14ac:dyDescent="0.35">
      <c r="A141" t="s">
        <v>292</v>
      </c>
      <c r="B141" t="s">
        <v>293</v>
      </c>
      <c r="C141" t="s">
        <v>292</v>
      </c>
      <c r="D141" t="s">
        <v>335</v>
      </c>
      <c r="E141" t="s">
        <v>327</v>
      </c>
      <c r="F141">
        <v>11</v>
      </c>
    </row>
    <row r="142" spans="1:6" x14ac:dyDescent="0.35">
      <c r="A142" t="s">
        <v>294</v>
      </c>
      <c r="B142" t="s">
        <v>295</v>
      </c>
      <c r="C142" t="s">
        <v>294</v>
      </c>
      <c r="D142" t="s">
        <v>335</v>
      </c>
      <c r="E142" t="s">
        <v>327</v>
      </c>
      <c r="F142">
        <v>15</v>
      </c>
    </row>
    <row r="143" spans="1:6" x14ac:dyDescent="0.35">
      <c r="A143" t="s">
        <v>296</v>
      </c>
      <c r="B143" t="s">
        <v>297</v>
      </c>
      <c r="C143" t="s">
        <v>296</v>
      </c>
      <c r="D143" t="s">
        <v>335</v>
      </c>
      <c r="E143" t="s">
        <v>328</v>
      </c>
      <c r="F143">
        <v>4</v>
      </c>
    </row>
    <row r="144" spans="1:6" x14ac:dyDescent="0.35">
      <c r="A144" t="s">
        <v>298</v>
      </c>
      <c r="B144" t="s">
        <v>299</v>
      </c>
      <c r="C144" t="s">
        <v>298</v>
      </c>
      <c r="D144" t="s">
        <v>335</v>
      </c>
      <c r="E144" t="s">
        <v>327</v>
      </c>
      <c r="F144">
        <v>5</v>
      </c>
    </row>
    <row r="145" spans="1:6" x14ac:dyDescent="0.35">
      <c r="A145" t="s">
        <v>300</v>
      </c>
      <c r="B145" t="s">
        <v>301</v>
      </c>
      <c r="C145" t="s">
        <v>300</v>
      </c>
      <c r="D145" t="s">
        <v>335</v>
      </c>
      <c r="E145" t="s">
        <v>328</v>
      </c>
      <c r="F145">
        <v>14</v>
      </c>
    </row>
    <row r="146" spans="1:6" x14ac:dyDescent="0.35">
      <c r="A146" t="s">
        <v>302</v>
      </c>
      <c r="B146" t="s">
        <v>303</v>
      </c>
      <c r="C146" t="s">
        <v>302</v>
      </c>
      <c r="D146" t="s">
        <v>335</v>
      </c>
      <c r="E146" t="s">
        <v>328</v>
      </c>
      <c r="F146">
        <v>4</v>
      </c>
    </row>
    <row r="147" spans="1:6" x14ac:dyDescent="0.35">
      <c r="A147" t="s">
        <v>304</v>
      </c>
      <c r="B147" t="s">
        <v>305</v>
      </c>
      <c r="C147" t="s">
        <v>304</v>
      </c>
      <c r="D147" t="s">
        <v>335</v>
      </c>
      <c r="E147" t="s">
        <v>327</v>
      </c>
      <c r="F147">
        <v>16</v>
      </c>
    </row>
  </sheetData>
  <mergeCells count="1">
    <mergeCell ref="A1:C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79F43-09CC-4DEC-8700-A64FCB756FD4}">
  <dimension ref="A2:K141"/>
  <sheetViews>
    <sheetView workbookViewId="0">
      <selection activeCell="F3" sqref="F3"/>
    </sheetView>
  </sheetViews>
  <sheetFormatPr defaultColWidth="10.90625" defaultRowHeight="14.5" x14ac:dyDescent="0.35"/>
  <sheetData>
    <row r="2" spans="1:11" x14ac:dyDescent="0.35">
      <c r="A2" t="s">
        <v>0</v>
      </c>
      <c r="B2" t="s">
        <v>1</v>
      </c>
      <c r="C2" t="s">
        <v>2</v>
      </c>
      <c r="D2" t="s">
        <v>322</v>
      </c>
      <c r="E2" t="s">
        <v>323</v>
      </c>
      <c r="F2" t="s">
        <v>363</v>
      </c>
      <c r="G2" t="s">
        <v>362</v>
      </c>
      <c r="H2" t="s">
        <v>347</v>
      </c>
      <c r="I2" t="s">
        <v>346</v>
      </c>
      <c r="J2" t="s">
        <v>324</v>
      </c>
      <c r="K2" t="s">
        <v>345</v>
      </c>
    </row>
    <row r="3" spans="1:11" x14ac:dyDescent="0.35">
      <c r="A3" t="s">
        <v>3</v>
      </c>
      <c r="B3" t="s">
        <v>4</v>
      </c>
      <c r="C3" t="s">
        <v>5</v>
      </c>
      <c r="D3" t="s">
        <v>6</v>
      </c>
      <c r="E3" t="s">
        <v>7</v>
      </c>
      <c r="F3" t="s">
        <v>368</v>
      </c>
      <c r="G3" t="s">
        <v>343</v>
      </c>
      <c r="H3" t="b">
        <v>1</v>
      </c>
      <c r="I3" t="b">
        <v>1</v>
      </c>
      <c r="J3" t="b">
        <v>0</v>
      </c>
    </row>
    <row r="4" spans="1:11" x14ac:dyDescent="0.35">
      <c r="A4" t="s">
        <v>3</v>
      </c>
      <c r="B4" t="s">
        <v>8</v>
      </c>
      <c r="C4" t="s">
        <v>9</v>
      </c>
      <c r="D4" t="s">
        <v>6</v>
      </c>
      <c r="E4" t="s">
        <v>7</v>
      </c>
      <c r="F4" t="s">
        <v>368</v>
      </c>
      <c r="G4" t="s">
        <v>343</v>
      </c>
      <c r="H4" t="b">
        <v>1</v>
      </c>
      <c r="I4" t="b">
        <v>1</v>
      </c>
      <c r="J4" t="b">
        <v>0</v>
      </c>
    </row>
    <row r="5" spans="1:11" x14ac:dyDescent="0.35">
      <c r="A5" t="s">
        <v>3</v>
      </c>
      <c r="B5" t="s">
        <v>10</v>
      </c>
      <c r="C5" t="s">
        <v>11</v>
      </c>
      <c r="D5" t="s">
        <v>6</v>
      </c>
      <c r="E5" t="s">
        <v>7</v>
      </c>
      <c r="F5" t="s">
        <v>342</v>
      </c>
      <c r="G5" t="s">
        <v>343</v>
      </c>
      <c r="H5" t="b">
        <v>0</v>
      </c>
      <c r="I5" t="b">
        <v>1</v>
      </c>
      <c r="J5" t="b">
        <v>0</v>
      </c>
    </row>
    <row r="6" spans="1:11" x14ac:dyDescent="0.35">
      <c r="A6" t="s">
        <v>3</v>
      </c>
      <c r="B6" t="s">
        <v>12</v>
      </c>
      <c r="C6" t="s">
        <v>13</v>
      </c>
      <c r="D6" t="s">
        <v>6</v>
      </c>
      <c r="E6" t="s">
        <v>7</v>
      </c>
      <c r="F6" t="s">
        <v>368</v>
      </c>
      <c r="G6" t="s">
        <v>343</v>
      </c>
      <c r="H6" t="b">
        <v>0</v>
      </c>
      <c r="I6" t="b">
        <v>1</v>
      </c>
      <c r="J6" t="b">
        <v>0</v>
      </c>
    </row>
    <row r="7" spans="1:11" x14ac:dyDescent="0.35">
      <c r="A7" t="s">
        <v>3</v>
      </c>
      <c r="B7" t="s">
        <v>14</v>
      </c>
      <c r="C7" t="s">
        <v>15</v>
      </c>
      <c r="D7" t="s">
        <v>6</v>
      </c>
      <c r="E7" t="s">
        <v>7</v>
      </c>
      <c r="F7" t="s">
        <v>340</v>
      </c>
      <c r="G7" t="s">
        <v>343</v>
      </c>
      <c r="H7" t="b">
        <v>1</v>
      </c>
      <c r="I7" t="b">
        <v>1</v>
      </c>
      <c r="J7" t="b">
        <v>0</v>
      </c>
    </row>
    <row r="8" spans="1:11" x14ac:dyDescent="0.35">
      <c r="A8" t="s">
        <v>3</v>
      </c>
      <c r="B8" t="s">
        <v>16</v>
      </c>
      <c r="C8" t="s">
        <v>17</v>
      </c>
      <c r="D8" t="s">
        <v>6</v>
      </c>
      <c r="E8" t="s">
        <v>7</v>
      </c>
      <c r="F8" t="s">
        <v>340</v>
      </c>
      <c r="G8" t="s">
        <v>343</v>
      </c>
      <c r="H8" t="b">
        <v>0</v>
      </c>
      <c r="I8" t="b">
        <v>1</v>
      </c>
      <c r="J8" t="b">
        <v>0</v>
      </c>
    </row>
    <row r="9" spans="1:11" x14ac:dyDescent="0.35">
      <c r="A9" t="s">
        <v>3</v>
      </c>
      <c r="B9" t="s">
        <v>18</v>
      </c>
      <c r="C9" t="s">
        <v>19</v>
      </c>
      <c r="D9" t="s">
        <v>6</v>
      </c>
      <c r="E9" t="s">
        <v>7</v>
      </c>
      <c r="F9" t="s">
        <v>342</v>
      </c>
      <c r="G9" t="s">
        <v>343</v>
      </c>
      <c r="H9" t="b">
        <v>0</v>
      </c>
      <c r="I9" t="b">
        <v>1</v>
      </c>
      <c r="J9" t="b">
        <v>0</v>
      </c>
    </row>
    <row r="10" spans="1:11" x14ac:dyDescent="0.35">
      <c r="A10" t="s">
        <v>3</v>
      </c>
      <c r="B10" t="s">
        <v>20</v>
      </c>
      <c r="C10" t="s">
        <v>21</v>
      </c>
      <c r="D10" t="s">
        <v>6</v>
      </c>
      <c r="E10" t="s">
        <v>7</v>
      </c>
      <c r="F10" t="s">
        <v>342</v>
      </c>
      <c r="G10" t="s">
        <v>343</v>
      </c>
      <c r="H10" t="b">
        <v>1</v>
      </c>
      <c r="I10" t="b">
        <v>1</v>
      </c>
      <c r="J10" t="b">
        <v>0</v>
      </c>
    </row>
    <row r="11" spans="1:11" x14ac:dyDescent="0.35">
      <c r="A11" t="s">
        <v>3</v>
      </c>
      <c r="B11" t="s">
        <v>22</v>
      </c>
      <c r="C11" t="s">
        <v>23</v>
      </c>
      <c r="D11" t="s">
        <v>6</v>
      </c>
      <c r="E11" t="s">
        <v>7</v>
      </c>
      <c r="F11" t="s">
        <v>341</v>
      </c>
      <c r="G11" t="s">
        <v>343</v>
      </c>
      <c r="H11" t="b">
        <v>0</v>
      </c>
      <c r="I11" t="b">
        <v>1</v>
      </c>
      <c r="J11" t="b">
        <v>0</v>
      </c>
    </row>
    <row r="12" spans="1:11" x14ac:dyDescent="0.35">
      <c r="A12" t="s">
        <v>3</v>
      </c>
      <c r="B12" t="s">
        <v>24</v>
      </c>
      <c r="C12" t="s">
        <v>25</v>
      </c>
      <c r="D12" t="s">
        <v>6</v>
      </c>
      <c r="E12" t="s">
        <v>7</v>
      </c>
      <c r="F12" t="s">
        <v>368</v>
      </c>
      <c r="G12" t="s">
        <v>343</v>
      </c>
      <c r="H12" t="b">
        <v>0</v>
      </c>
      <c r="I12" t="b">
        <v>1</v>
      </c>
      <c r="J12" t="b">
        <v>0</v>
      </c>
    </row>
    <row r="13" spans="1:11" x14ac:dyDescent="0.35">
      <c r="A13" t="s">
        <v>3</v>
      </c>
      <c r="B13" t="s">
        <v>26</v>
      </c>
      <c r="C13" t="s">
        <v>27</v>
      </c>
      <c r="D13" t="s">
        <v>6</v>
      </c>
      <c r="E13" t="s">
        <v>7</v>
      </c>
      <c r="F13" t="s">
        <v>342</v>
      </c>
      <c r="G13" t="s">
        <v>343</v>
      </c>
      <c r="H13" t="b">
        <v>0</v>
      </c>
      <c r="I13" t="b">
        <v>1</v>
      </c>
      <c r="J13" t="b">
        <v>0</v>
      </c>
    </row>
    <row r="14" spans="1:11" x14ac:dyDescent="0.35">
      <c r="A14" t="s">
        <v>373</v>
      </c>
      <c r="B14" t="s">
        <v>28</v>
      </c>
      <c r="C14" t="s">
        <v>29</v>
      </c>
      <c r="D14" t="s">
        <v>6</v>
      </c>
      <c r="E14" t="s">
        <v>7</v>
      </c>
      <c r="F14" t="s">
        <v>341</v>
      </c>
      <c r="G14" t="s">
        <v>343</v>
      </c>
      <c r="H14" t="b">
        <v>1</v>
      </c>
      <c r="I14" t="b">
        <v>1</v>
      </c>
      <c r="J14" t="b">
        <v>0</v>
      </c>
    </row>
    <row r="15" spans="1:11" x14ac:dyDescent="0.35">
      <c r="A15" t="s">
        <v>3</v>
      </c>
      <c r="B15" t="s">
        <v>30</v>
      </c>
      <c r="C15" t="s">
        <v>31</v>
      </c>
      <c r="D15" t="s">
        <v>6</v>
      </c>
      <c r="E15" t="s">
        <v>7</v>
      </c>
      <c r="F15" t="s">
        <v>368</v>
      </c>
      <c r="G15" t="s">
        <v>343</v>
      </c>
      <c r="H15" t="b">
        <v>0</v>
      </c>
      <c r="I15" t="b">
        <v>0</v>
      </c>
      <c r="J15" t="b">
        <v>0</v>
      </c>
    </row>
    <row r="16" spans="1:11" x14ac:dyDescent="0.35">
      <c r="A16" t="s">
        <v>3</v>
      </c>
      <c r="B16" t="s">
        <v>32</v>
      </c>
      <c r="C16" t="s">
        <v>33</v>
      </c>
      <c r="D16" t="s">
        <v>6</v>
      </c>
      <c r="E16" t="s">
        <v>7</v>
      </c>
      <c r="F16" t="s">
        <v>368</v>
      </c>
      <c r="G16" t="s">
        <v>343</v>
      </c>
      <c r="H16" t="b">
        <v>0</v>
      </c>
      <c r="I16" t="b">
        <v>0</v>
      </c>
      <c r="J16" t="b">
        <v>0</v>
      </c>
    </row>
    <row r="17" spans="1:10" x14ac:dyDescent="0.35">
      <c r="A17" t="s">
        <v>3</v>
      </c>
      <c r="B17" t="s">
        <v>34</v>
      </c>
      <c r="C17" t="s">
        <v>35</v>
      </c>
      <c r="D17" t="s">
        <v>6</v>
      </c>
      <c r="E17" t="s">
        <v>7</v>
      </c>
      <c r="F17" t="s">
        <v>368</v>
      </c>
      <c r="G17" t="s">
        <v>343</v>
      </c>
      <c r="H17" t="b">
        <v>0</v>
      </c>
      <c r="I17" t="b">
        <v>1</v>
      </c>
      <c r="J17" t="b">
        <v>0</v>
      </c>
    </row>
    <row r="18" spans="1:10" x14ac:dyDescent="0.35">
      <c r="A18" t="s">
        <v>3</v>
      </c>
      <c r="B18" t="s">
        <v>36</v>
      </c>
      <c r="C18" t="s">
        <v>37</v>
      </c>
      <c r="D18" t="s">
        <v>6</v>
      </c>
      <c r="E18" t="s">
        <v>7</v>
      </c>
      <c r="F18" t="s">
        <v>340</v>
      </c>
      <c r="G18" t="s">
        <v>343</v>
      </c>
      <c r="H18" t="b">
        <v>1</v>
      </c>
      <c r="I18" t="b">
        <v>1</v>
      </c>
      <c r="J18" t="b">
        <v>0</v>
      </c>
    </row>
    <row r="19" spans="1:10" x14ac:dyDescent="0.35">
      <c r="A19" t="s">
        <v>3</v>
      </c>
      <c r="B19" t="s">
        <v>38</v>
      </c>
      <c r="C19" t="s">
        <v>39</v>
      </c>
      <c r="D19" t="s">
        <v>6</v>
      </c>
      <c r="E19" t="s">
        <v>7</v>
      </c>
      <c r="F19" t="s">
        <v>340</v>
      </c>
      <c r="G19" t="s">
        <v>343</v>
      </c>
      <c r="H19" t="b">
        <v>0</v>
      </c>
      <c r="I19" t="b">
        <v>1</v>
      </c>
      <c r="J19" t="b">
        <v>0</v>
      </c>
    </row>
    <row r="20" spans="1:10" x14ac:dyDescent="0.35">
      <c r="A20" t="s">
        <v>3</v>
      </c>
      <c r="B20" t="s">
        <v>40</v>
      </c>
      <c r="C20" t="s">
        <v>41</v>
      </c>
      <c r="D20" t="s">
        <v>6</v>
      </c>
      <c r="E20" t="s">
        <v>7</v>
      </c>
      <c r="F20" t="s">
        <v>368</v>
      </c>
      <c r="G20" t="s">
        <v>344</v>
      </c>
      <c r="H20" t="b">
        <v>0</v>
      </c>
      <c r="I20" t="b">
        <v>0</v>
      </c>
      <c r="J20" t="b">
        <v>0</v>
      </c>
    </row>
    <row r="21" spans="1:10" x14ac:dyDescent="0.35">
      <c r="A21" t="s">
        <v>3</v>
      </c>
      <c r="B21" t="s">
        <v>42</v>
      </c>
      <c r="C21" t="s">
        <v>43</v>
      </c>
      <c r="D21" t="s">
        <v>6</v>
      </c>
      <c r="E21" t="s">
        <v>7</v>
      </c>
      <c r="F21" t="s">
        <v>368</v>
      </c>
      <c r="G21" t="s">
        <v>343</v>
      </c>
      <c r="H21" t="b">
        <v>1</v>
      </c>
      <c r="I21" t="b">
        <v>1</v>
      </c>
      <c r="J21" t="b">
        <v>0</v>
      </c>
    </row>
    <row r="22" spans="1:10" x14ac:dyDescent="0.35">
      <c r="A22" t="s">
        <v>3</v>
      </c>
      <c r="B22" t="s">
        <v>44</v>
      </c>
      <c r="C22" t="s">
        <v>45</v>
      </c>
      <c r="D22" t="s">
        <v>6</v>
      </c>
      <c r="E22" t="s">
        <v>7</v>
      </c>
      <c r="F22" t="s">
        <v>368</v>
      </c>
      <c r="G22" t="s">
        <v>343</v>
      </c>
      <c r="H22" t="b">
        <v>0</v>
      </c>
      <c r="I22" t="b">
        <v>0</v>
      </c>
      <c r="J22" t="b">
        <v>0</v>
      </c>
    </row>
    <row r="23" spans="1:10" x14ac:dyDescent="0.35">
      <c r="A23" t="s">
        <v>3</v>
      </c>
      <c r="B23" t="s">
        <v>46</v>
      </c>
      <c r="C23" t="s">
        <v>47</v>
      </c>
      <c r="D23" t="s">
        <v>6</v>
      </c>
      <c r="E23" t="s">
        <v>7</v>
      </c>
      <c r="F23" t="s">
        <v>342</v>
      </c>
      <c r="G23" t="s">
        <v>343</v>
      </c>
      <c r="H23" t="b">
        <v>0</v>
      </c>
      <c r="I23" t="b">
        <v>1</v>
      </c>
      <c r="J23" t="b">
        <v>0</v>
      </c>
    </row>
    <row r="24" spans="1:10" x14ac:dyDescent="0.35">
      <c r="A24" t="s">
        <v>3</v>
      </c>
      <c r="B24" t="s">
        <v>48</v>
      </c>
      <c r="C24" t="s">
        <v>49</v>
      </c>
      <c r="D24" t="s">
        <v>6</v>
      </c>
      <c r="E24" t="s">
        <v>7</v>
      </c>
      <c r="F24" t="s">
        <v>368</v>
      </c>
      <c r="G24" t="s">
        <v>343</v>
      </c>
      <c r="H24" t="b">
        <v>0</v>
      </c>
      <c r="I24" t="b">
        <v>1</v>
      </c>
      <c r="J24" t="b">
        <v>0</v>
      </c>
    </row>
    <row r="25" spans="1:10" x14ac:dyDescent="0.35">
      <c r="A25" t="s">
        <v>3</v>
      </c>
      <c r="B25" t="s">
        <v>50</v>
      </c>
      <c r="C25" t="s">
        <v>51</v>
      </c>
      <c r="D25" t="s">
        <v>6</v>
      </c>
      <c r="E25" t="s">
        <v>7</v>
      </c>
      <c r="F25" t="s">
        <v>340</v>
      </c>
      <c r="G25" t="s">
        <v>343</v>
      </c>
      <c r="H25" t="b">
        <v>0</v>
      </c>
      <c r="I25" t="b">
        <v>1</v>
      </c>
      <c r="J25" t="b">
        <v>0</v>
      </c>
    </row>
    <row r="26" spans="1:10" x14ac:dyDescent="0.35">
      <c r="A26" t="s">
        <v>3</v>
      </c>
      <c r="B26" t="s">
        <v>52</v>
      </c>
      <c r="C26" t="s">
        <v>53</v>
      </c>
      <c r="D26" t="s">
        <v>6</v>
      </c>
      <c r="E26" t="s">
        <v>7</v>
      </c>
      <c r="F26" t="s">
        <v>368</v>
      </c>
      <c r="G26" t="s">
        <v>343</v>
      </c>
      <c r="H26" t="b">
        <v>0</v>
      </c>
      <c r="I26" t="b">
        <v>1</v>
      </c>
      <c r="J26" t="b">
        <v>0</v>
      </c>
    </row>
    <row r="27" spans="1:10" x14ac:dyDescent="0.35">
      <c r="A27" t="s">
        <v>3</v>
      </c>
      <c r="B27" t="s">
        <v>54</v>
      </c>
      <c r="C27" t="s">
        <v>55</v>
      </c>
      <c r="D27" t="s">
        <v>6</v>
      </c>
      <c r="E27" t="s">
        <v>7</v>
      </c>
      <c r="F27" t="s">
        <v>368</v>
      </c>
      <c r="G27" t="s">
        <v>343</v>
      </c>
      <c r="H27" t="b">
        <v>0</v>
      </c>
      <c r="I27" t="b">
        <v>0</v>
      </c>
      <c r="J27" t="b">
        <v>0</v>
      </c>
    </row>
    <row r="28" spans="1:10" x14ac:dyDescent="0.35">
      <c r="A28" t="s">
        <v>3</v>
      </c>
      <c r="B28" t="s">
        <v>56</v>
      </c>
      <c r="C28" t="s">
        <v>57</v>
      </c>
      <c r="D28" t="s">
        <v>6</v>
      </c>
      <c r="E28" t="s">
        <v>7</v>
      </c>
      <c r="F28" t="s">
        <v>340</v>
      </c>
      <c r="G28" t="s">
        <v>343</v>
      </c>
      <c r="H28" t="b">
        <v>0</v>
      </c>
      <c r="I28" t="b">
        <v>1</v>
      </c>
      <c r="J28" t="b">
        <v>0</v>
      </c>
    </row>
    <row r="29" spans="1:10" x14ac:dyDescent="0.35">
      <c r="A29" t="s">
        <v>3</v>
      </c>
      <c r="B29" t="s">
        <v>58</v>
      </c>
      <c r="C29" t="s">
        <v>59</v>
      </c>
      <c r="D29" t="s">
        <v>6</v>
      </c>
      <c r="E29" t="s">
        <v>7</v>
      </c>
      <c r="F29" t="s">
        <v>342</v>
      </c>
      <c r="G29" t="s">
        <v>343</v>
      </c>
      <c r="H29" t="b">
        <v>0</v>
      </c>
      <c r="I29" t="b">
        <v>1</v>
      </c>
      <c r="J29" t="b">
        <v>0</v>
      </c>
    </row>
    <row r="30" spans="1:10" x14ac:dyDescent="0.35">
      <c r="A30" t="s">
        <v>3</v>
      </c>
      <c r="B30" t="s">
        <v>60</v>
      </c>
      <c r="C30" t="s">
        <v>61</v>
      </c>
      <c r="D30" t="s">
        <v>6</v>
      </c>
      <c r="E30" t="s">
        <v>7</v>
      </c>
      <c r="F30" t="s">
        <v>342</v>
      </c>
      <c r="G30" t="s">
        <v>343</v>
      </c>
      <c r="H30" t="b">
        <v>0</v>
      </c>
      <c r="I30" t="b">
        <v>1</v>
      </c>
      <c r="J30" t="b">
        <v>0</v>
      </c>
    </row>
    <row r="31" spans="1:10" x14ac:dyDescent="0.35">
      <c r="A31" t="s">
        <v>3</v>
      </c>
      <c r="B31" t="s">
        <v>62</v>
      </c>
      <c r="C31" t="s">
        <v>63</v>
      </c>
      <c r="D31" t="s">
        <v>6</v>
      </c>
      <c r="E31" t="s">
        <v>7</v>
      </c>
      <c r="F31" t="s">
        <v>340</v>
      </c>
      <c r="G31" t="s">
        <v>343</v>
      </c>
      <c r="H31" t="b">
        <v>1</v>
      </c>
      <c r="I31" t="b">
        <v>1</v>
      </c>
      <c r="J31" t="b">
        <v>0</v>
      </c>
    </row>
    <row r="32" spans="1:10" x14ac:dyDescent="0.35">
      <c r="A32" t="s">
        <v>3</v>
      </c>
      <c r="B32" t="s">
        <v>64</v>
      </c>
      <c r="C32" t="s">
        <v>65</v>
      </c>
      <c r="D32" t="s">
        <v>6</v>
      </c>
      <c r="E32" t="s">
        <v>7</v>
      </c>
      <c r="F32" t="s">
        <v>368</v>
      </c>
      <c r="G32" t="s">
        <v>343</v>
      </c>
      <c r="H32" t="b">
        <v>0</v>
      </c>
      <c r="I32" t="b">
        <v>0</v>
      </c>
      <c r="J32" t="b">
        <v>0</v>
      </c>
    </row>
    <row r="33" spans="1:10" x14ac:dyDescent="0.35">
      <c r="A33" t="s">
        <v>3</v>
      </c>
      <c r="B33" t="s">
        <v>66</v>
      </c>
      <c r="C33" t="s">
        <v>67</v>
      </c>
      <c r="D33" t="s">
        <v>6</v>
      </c>
      <c r="E33" t="s">
        <v>7</v>
      </c>
      <c r="F33" t="s">
        <v>341</v>
      </c>
      <c r="G33" t="s">
        <v>343</v>
      </c>
      <c r="H33" t="b">
        <v>0</v>
      </c>
      <c r="I33" t="b">
        <v>1</v>
      </c>
      <c r="J33" t="b">
        <v>0</v>
      </c>
    </row>
    <row r="34" spans="1:10" x14ac:dyDescent="0.35">
      <c r="A34" t="s">
        <v>3</v>
      </c>
      <c r="B34" t="s">
        <v>68</v>
      </c>
      <c r="C34" t="s">
        <v>69</v>
      </c>
      <c r="D34" t="s">
        <v>6</v>
      </c>
      <c r="E34" t="s">
        <v>7</v>
      </c>
      <c r="F34" t="s">
        <v>368</v>
      </c>
      <c r="G34" t="s">
        <v>343</v>
      </c>
      <c r="H34" t="b">
        <v>1</v>
      </c>
      <c r="I34" t="b">
        <v>1</v>
      </c>
      <c r="J34" t="b">
        <v>0</v>
      </c>
    </row>
    <row r="35" spans="1:10" x14ac:dyDescent="0.35">
      <c r="A35" t="s">
        <v>3</v>
      </c>
      <c r="B35" t="s">
        <v>70</v>
      </c>
      <c r="C35" t="s">
        <v>71</v>
      </c>
      <c r="D35" t="s">
        <v>6</v>
      </c>
      <c r="E35" t="s">
        <v>7</v>
      </c>
      <c r="F35" t="s">
        <v>342</v>
      </c>
      <c r="G35" t="s">
        <v>343</v>
      </c>
      <c r="H35" t="b">
        <v>0</v>
      </c>
      <c r="I35" t="b">
        <v>1</v>
      </c>
      <c r="J35" t="b">
        <v>0</v>
      </c>
    </row>
    <row r="36" spans="1:10" x14ac:dyDescent="0.35">
      <c r="A36" t="s">
        <v>3</v>
      </c>
      <c r="B36" t="s">
        <v>72</v>
      </c>
      <c r="C36" t="s">
        <v>73</v>
      </c>
      <c r="D36" t="s">
        <v>6</v>
      </c>
      <c r="E36" t="s">
        <v>7</v>
      </c>
      <c r="F36" t="s">
        <v>368</v>
      </c>
      <c r="G36" t="s">
        <v>343</v>
      </c>
      <c r="H36" t="b">
        <v>1</v>
      </c>
      <c r="I36" t="b">
        <v>1</v>
      </c>
      <c r="J36" t="b">
        <v>0</v>
      </c>
    </row>
    <row r="37" spans="1:10" x14ac:dyDescent="0.35">
      <c r="A37" t="s">
        <v>3</v>
      </c>
      <c r="B37" t="s">
        <v>74</v>
      </c>
      <c r="C37" t="s">
        <v>75</v>
      </c>
      <c r="D37" t="s">
        <v>6</v>
      </c>
      <c r="E37" t="s">
        <v>7</v>
      </c>
      <c r="F37" t="s">
        <v>368</v>
      </c>
      <c r="G37" t="s">
        <v>343</v>
      </c>
      <c r="H37" t="b">
        <v>0</v>
      </c>
      <c r="I37" t="b">
        <v>1</v>
      </c>
      <c r="J37" t="b">
        <v>0</v>
      </c>
    </row>
    <row r="38" spans="1:10" x14ac:dyDescent="0.35">
      <c r="A38" t="s">
        <v>3</v>
      </c>
      <c r="B38" t="s">
        <v>76</v>
      </c>
      <c r="C38" t="s">
        <v>77</v>
      </c>
      <c r="D38" t="s">
        <v>6</v>
      </c>
      <c r="E38" t="s">
        <v>7</v>
      </c>
      <c r="F38" t="s">
        <v>368</v>
      </c>
      <c r="G38" t="s">
        <v>343</v>
      </c>
      <c r="H38" t="b">
        <v>0</v>
      </c>
      <c r="I38" t="b">
        <v>0</v>
      </c>
      <c r="J38" t="b">
        <v>0</v>
      </c>
    </row>
    <row r="39" spans="1:10" x14ac:dyDescent="0.35">
      <c r="A39" t="s">
        <v>3</v>
      </c>
      <c r="B39" t="s">
        <v>78</v>
      </c>
      <c r="C39" t="s">
        <v>79</v>
      </c>
      <c r="D39" t="s">
        <v>6</v>
      </c>
      <c r="E39" t="s">
        <v>7</v>
      </c>
      <c r="F39" t="s">
        <v>368</v>
      </c>
      <c r="G39" t="s">
        <v>344</v>
      </c>
      <c r="H39" t="b">
        <v>0</v>
      </c>
      <c r="I39" t="b">
        <v>0</v>
      </c>
      <c r="J39" t="b">
        <v>0</v>
      </c>
    </row>
    <row r="40" spans="1:10" x14ac:dyDescent="0.35">
      <c r="A40" t="s">
        <v>80</v>
      </c>
      <c r="B40" t="s">
        <v>81</v>
      </c>
      <c r="C40" t="s">
        <v>82</v>
      </c>
      <c r="D40" t="s">
        <v>6</v>
      </c>
      <c r="E40" t="s">
        <v>7</v>
      </c>
      <c r="F40" t="s">
        <v>368</v>
      </c>
      <c r="G40" t="s">
        <v>343</v>
      </c>
      <c r="H40" t="b">
        <v>1</v>
      </c>
      <c r="I40" t="b">
        <v>1</v>
      </c>
      <c r="J40" t="b">
        <v>0</v>
      </c>
    </row>
    <row r="41" spans="1:10" x14ac:dyDescent="0.35">
      <c r="A41" t="s">
        <v>80</v>
      </c>
      <c r="B41" t="s">
        <v>83</v>
      </c>
      <c r="C41" t="s">
        <v>84</v>
      </c>
      <c r="D41" t="s">
        <v>6</v>
      </c>
      <c r="E41" t="s">
        <v>7</v>
      </c>
      <c r="F41" t="s">
        <v>368</v>
      </c>
      <c r="G41" t="s">
        <v>343</v>
      </c>
      <c r="H41" t="b">
        <v>0</v>
      </c>
      <c r="I41" t="b">
        <v>1</v>
      </c>
      <c r="J41" t="b">
        <v>0</v>
      </c>
    </row>
    <row r="42" spans="1:10" x14ac:dyDescent="0.35">
      <c r="A42" t="s">
        <v>80</v>
      </c>
      <c r="B42" t="s">
        <v>85</v>
      </c>
      <c r="C42" t="s">
        <v>86</v>
      </c>
      <c r="D42" t="s">
        <v>6</v>
      </c>
      <c r="E42" t="s">
        <v>7</v>
      </c>
      <c r="F42" t="s">
        <v>368</v>
      </c>
      <c r="G42" t="s">
        <v>343</v>
      </c>
      <c r="H42" t="b">
        <v>0</v>
      </c>
      <c r="I42" t="b">
        <v>1</v>
      </c>
      <c r="J42" t="b">
        <v>0</v>
      </c>
    </row>
    <row r="43" spans="1:10" x14ac:dyDescent="0.35">
      <c r="A43" t="s">
        <v>80</v>
      </c>
      <c r="B43" t="s">
        <v>87</v>
      </c>
      <c r="C43" t="s">
        <v>88</v>
      </c>
      <c r="D43" t="s">
        <v>6</v>
      </c>
      <c r="E43" t="s">
        <v>7</v>
      </c>
      <c r="F43" t="s">
        <v>368</v>
      </c>
      <c r="G43" t="s">
        <v>344</v>
      </c>
      <c r="H43" t="b">
        <v>0</v>
      </c>
      <c r="I43" t="b">
        <v>0</v>
      </c>
      <c r="J43" t="b">
        <v>0</v>
      </c>
    </row>
    <row r="44" spans="1:10" x14ac:dyDescent="0.35">
      <c r="A44" t="s">
        <v>80</v>
      </c>
      <c r="B44" t="s">
        <v>89</v>
      </c>
      <c r="C44" t="s">
        <v>90</v>
      </c>
      <c r="D44" t="s">
        <v>6</v>
      </c>
      <c r="E44" t="s">
        <v>7</v>
      </c>
      <c r="F44" t="s">
        <v>340</v>
      </c>
      <c r="G44" t="s">
        <v>343</v>
      </c>
      <c r="H44" t="b">
        <v>0</v>
      </c>
      <c r="I44" t="b">
        <v>1</v>
      </c>
      <c r="J44" t="b">
        <v>0</v>
      </c>
    </row>
    <row r="45" spans="1:10" x14ac:dyDescent="0.35">
      <c r="A45" t="s">
        <v>80</v>
      </c>
      <c r="B45" t="s">
        <v>91</v>
      </c>
      <c r="C45" t="s">
        <v>92</v>
      </c>
      <c r="D45" t="s">
        <v>6</v>
      </c>
      <c r="E45" t="s">
        <v>7</v>
      </c>
      <c r="F45" t="s">
        <v>368</v>
      </c>
      <c r="G45" t="s">
        <v>343</v>
      </c>
      <c r="H45" t="b">
        <v>0</v>
      </c>
      <c r="I45" t="b">
        <v>1</v>
      </c>
      <c r="J45" t="b">
        <v>0</v>
      </c>
    </row>
    <row r="46" spans="1:10" x14ac:dyDescent="0.35">
      <c r="A46" t="s">
        <v>80</v>
      </c>
      <c r="B46" t="s">
        <v>93</v>
      </c>
      <c r="C46" t="s">
        <v>94</v>
      </c>
      <c r="D46" t="s">
        <v>6</v>
      </c>
      <c r="E46" t="s">
        <v>7</v>
      </c>
      <c r="F46" t="s">
        <v>368</v>
      </c>
      <c r="G46" t="s">
        <v>343</v>
      </c>
      <c r="H46" t="b">
        <v>0</v>
      </c>
      <c r="I46" t="b">
        <v>0</v>
      </c>
      <c r="J46" t="b">
        <v>0</v>
      </c>
    </row>
    <row r="47" spans="1:10" x14ac:dyDescent="0.35">
      <c r="A47" t="s">
        <v>80</v>
      </c>
      <c r="B47" t="s">
        <v>95</v>
      </c>
      <c r="C47" t="s">
        <v>96</v>
      </c>
      <c r="D47" t="s">
        <v>6</v>
      </c>
      <c r="E47" t="s">
        <v>7</v>
      </c>
      <c r="F47" t="s">
        <v>341</v>
      </c>
      <c r="G47" t="s">
        <v>343</v>
      </c>
      <c r="H47" t="b">
        <v>0</v>
      </c>
      <c r="I47" t="b">
        <v>0</v>
      </c>
      <c r="J47" t="b">
        <v>0</v>
      </c>
    </row>
    <row r="48" spans="1:10" x14ac:dyDescent="0.35">
      <c r="A48" t="s">
        <v>80</v>
      </c>
      <c r="B48" t="s">
        <v>97</v>
      </c>
      <c r="C48" t="s">
        <v>98</v>
      </c>
      <c r="D48" t="s">
        <v>6</v>
      </c>
      <c r="E48" t="s">
        <v>7</v>
      </c>
      <c r="F48" t="s">
        <v>368</v>
      </c>
      <c r="G48" t="s">
        <v>343</v>
      </c>
      <c r="H48" t="b">
        <v>0</v>
      </c>
      <c r="I48" t="b">
        <v>0</v>
      </c>
      <c r="J48" t="b">
        <v>0</v>
      </c>
    </row>
    <row r="49" spans="1:11" x14ac:dyDescent="0.35">
      <c r="A49" t="s">
        <v>80</v>
      </c>
      <c r="B49" t="s">
        <v>99</v>
      </c>
      <c r="C49" t="s">
        <v>100</v>
      </c>
      <c r="D49" t="s">
        <v>6</v>
      </c>
      <c r="E49" t="s">
        <v>7</v>
      </c>
      <c r="F49" t="s">
        <v>368</v>
      </c>
      <c r="G49" t="s">
        <v>343</v>
      </c>
      <c r="H49" t="b">
        <v>0</v>
      </c>
      <c r="I49" t="b">
        <v>1</v>
      </c>
      <c r="J49" t="b">
        <v>0</v>
      </c>
    </row>
    <row r="50" spans="1:11" x14ac:dyDescent="0.35">
      <c r="A50" t="s">
        <v>80</v>
      </c>
      <c r="B50" t="s">
        <v>101</v>
      </c>
      <c r="C50" t="s">
        <v>102</v>
      </c>
      <c r="D50" t="s">
        <v>6</v>
      </c>
      <c r="E50" t="s">
        <v>7</v>
      </c>
      <c r="F50" t="s">
        <v>368</v>
      </c>
      <c r="G50" t="s">
        <v>343</v>
      </c>
      <c r="H50" t="b">
        <v>0</v>
      </c>
      <c r="I50" t="b">
        <v>1</v>
      </c>
      <c r="J50" t="b">
        <v>0</v>
      </c>
    </row>
    <row r="51" spans="1:11" x14ac:dyDescent="0.35">
      <c r="A51" t="s">
        <v>80</v>
      </c>
      <c r="B51" t="s">
        <v>103</v>
      </c>
      <c r="C51" t="s">
        <v>104</v>
      </c>
      <c r="D51" t="s">
        <v>6</v>
      </c>
      <c r="E51" t="s">
        <v>7</v>
      </c>
      <c r="F51" t="s">
        <v>368</v>
      </c>
      <c r="G51" t="s">
        <v>343</v>
      </c>
      <c r="H51" t="b">
        <v>0</v>
      </c>
      <c r="I51" t="b">
        <v>1</v>
      </c>
      <c r="J51" t="b">
        <v>0</v>
      </c>
    </row>
    <row r="52" spans="1:11" x14ac:dyDescent="0.35">
      <c r="A52" t="s">
        <v>80</v>
      </c>
      <c r="B52" t="s">
        <v>105</v>
      </c>
      <c r="C52" t="s">
        <v>106</v>
      </c>
      <c r="D52" t="s">
        <v>6</v>
      </c>
      <c r="E52" t="s">
        <v>7</v>
      </c>
      <c r="F52" t="s">
        <v>368</v>
      </c>
      <c r="G52" t="s">
        <v>343</v>
      </c>
      <c r="H52" t="b">
        <v>0</v>
      </c>
      <c r="I52" t="b">
        <v>1</v>
      </c>
      <c r="J52" t="b">
        <v>0</v>
      </c>
    </row>
    <row r="53" spans="1:11" x14ac:dyDescent="0.35">
      <c r="A53" t="s">
        <v>80</v>
      </c>
      <c r="B53" t="s">
        <v>107</v>
      </c>
      <c r="C53" t="s">
        <v>108</v>
      </c>
      <c r="D53" t="s">
        <v>6</v>
      </c>
      <c r="E53" t="s">
        <v>7</v>
      </c>
      <c r="F53" t="s">
        <v>368</v>
      </c>
      <c r="G53" t="s">
        <v>344</v>
      </c>
      <c r="H53" t="b">
        <v>0</v>
      </c>
      <c r="I53" t="b">
        <v>0</v>
      </c>
      <c r="J53" t="b">
        <v>0</v>
      </c>
    </row>
    <row r="54" spans="1:11" x14ac:dyDescent="0.35">
      <c r="A54" t="s">
        <v>80</v>
      </c>
      <c r="B54" t="s">
        <v>109</v>
      </c>
      <c r="C54" t="s">
        <v>110</v>
      </c>
      <c r="D54" t="s">
        <v>6</v>
      </c>
      <c r="E54" t="s">
        <v>7</v>
      </c>
      <c r="F54" t="s">
        <v>368</v>
      </c>
      <c r="G54" t="s">
        <v>343</v>
      </c>
      <c r="H54" t="b">
        <v>0</v>
      </c>
      <c r="I54" t="b">
        <v>1</v>
      </c>
      <c r="J54" t="b">
        <v>0</v>
      </c>
    </row>
    <row r="55" spans="1:11" x14ac:dyDescent="0.35">
      <c r="A55" t="s">
        <v>80</v>
      </c>
      <c r="B55" t="s">
        <v>111</v>
      </c>
      <c r="C55" t="s">
        <v>112</v>
      </c>
      <c r="D55" t="s">
        <v>6</v>
      </c>
      <c r="E55" t="s">
        <v>7</v>
      </c>
      <c r="F55" t="s">
        <v>340</v>
      </c>
      <c r="G55" t="s">
        <v>343</v>
      </c>
      <c r="H55" t="b">
        <v>0</v>
      </c>
      <c r="I55" t="b">
        <v>1</v>
      </c>
      <c r="J55" t="b">
        <v>0</v>
      </c>
    </row>
    <row r="56" spans="1:11" x14ac:dyDescent="0.35">
      <c r="A56" t="s">
        <v>80</v>
      </c>
      <c r="B56" t="s">
        <v>113</v>
      </c>
      <c r="C56" t="s">
        <v>114</v>
      </c>
      <c r="D56" t="s">
        <v>6</v>
      </c>
      <c r="E56" t="s">
        <v>7</v>
      </c>
      <c r="F56" t="s">
        <v>368</v>
      </c>
      <c r="G56" t="s">
        <v>343</v>
      </c>
      <c r="H56" t="b">
        <v>0</v>
      </c>
      <c r="I56" t="b">
        <v>1</v>
      </c>
      <c r="J56" t="b">
        <v>0</v>
      </c>
    </row>
    <row r="57" spans="1:11" x14ac:dyDescent="0.35">
      <c r="A57" t="s">
        <v>80</v>
      </c>
      <c r="B57" t="s">
        <v>115</v>
      </c>
      <c r="C57" t="s">
        <v>116</v>
      </c>
      <c r="D57" t="s">
        <v>6</v>
      </c>
      <c r="E57" t="s">
        <v>7</v>
      </c>
      <c r="F57" t="s">
        <v>368</v>
      </c>
      <c r="G57" t="s">
        <v>343</v>
      </c>
      <c r="H57" t="b">
        <v>0</v>
      </c>
      <c r="I57" t="b">
        <v>0</v>
      </c>
      <c r="J57" t="b">
        <v>0</v>
      </c>
    </row>
    <row r="58" spans="1:11" x14ac:dyDescent="0.35">
      <c r="A58" t="s">
        <v>80</v>
      </c>
      <c r="B58" t="s">
        <v>117</v>
      </c>
      <c r="C58" t="s">
        <v>118</v>
      </c>
      <c r="D58" t="s">
        <v>6</v>
      </c>
      <c r="E58" t="s">
        <v>7</v>
      </c>
      <c r="F58" t="s">
        <v>368</v>
      </c>
      <c r="G58" t="s">
        <v>343</v>
      </c>
      <c r="H58" t="b">
        <v>0</v>
      </c>
      <c r="I58" t="b">
        <v>1</v>
      </c>
      <c r="J58" t="b">
        <v>0</v>
      </c>
    </row>
    <row r="59" spans="1:11" x14ac:dyDescent="0.35">
      <c r="A59" t="s">
        <v>80</v>
      </c>
      <c r="B59" t="s">
        <v>119</v>
      </c>
      <c r="C59" t="s">
        <v>120</v>
      </c>
      <c r="D59" t="s">
        <v>6</v>
      </c>
      <c r="E59" t="s">
        <v>7</v>
      </c>
      <c r="F59" t="s">
        <v>342</v>
      </c>
      <c r="G59" t="s">
        <v>343</v>
      </c>
      <c r="H59" t="b">
        <v>0</v>
      </c>
      <c r="I59" t="b">
        <v>0</v>
      </c>
      <c r="J59" t="b">
        <v>0</v>
      </c>
    </row>
    <row r="60" spans="1:11" x14ac:dyDescent="0.35">
      <c r="A60" t="s">
        <v>80</v>
      </c>
      <c r="B60" t="s">
        <v>121</v>
      </c>
      <c r="C60" t="s">
        <v>122</v>
      </c>
      <c r="D60" t="s">
        <v>6</v>
      </c>
      <c r="E60" t="s">
        <v>7</v>
      </c>
      <c r="F60" t="s">
        <v>368</v>
      </c>
      <c r="G60" t="s">
        <v>343</v>
      </c>
      <c r="H60" t="b">
        <v>0</v>
      </c>
      <c r="I60" t="b">
        <v>1</v>
      </c>
      <c r="J60" t="b">
        <v>0</v>
      </c>
    </row>
    <row r="61" spans="1:11" x14ac:dyDescent="0.35">
      <c r="A61" t="s">
        <v>123</v>
      </c>
      <c r="B61" t="s">
        <v>124</v>
      </c>
      <c r="C61" t="s">
        <v>125</v>
      </c>
      <c r="D61" t="s">
        <v>126</v>
      </c>
      <c r="E61" t="s">
        <v>127</v>
      </c>
      <c r="F61" t="s">
        <v>368</v>
      </c>
      <c r="H61" t="b">
        <v>0</v>
      </c>
      <c r="I61" t="b">
        <v>0</v>
      </c>
      <c r="J61" t="b">
        <v>0</v>
      </c>
    </row>
    <row r="62" spans="1:11" x14ac:dyDescent="0.35">
      <c r="A62" t="s">
        <v>123</v>
      </c>
      <c r="B62" t="s">
        <v>128</v>
      </c>
      <c r="C62" t="s">
        <v>129</v>
      </c>
      <c r="D62" t="s">
        <v>126</v>
      </c>
      <c r="E62" t="s">
        <v>130</v>
      </c>
      <c r="F62" t="s">
        <v>342</v>
      </c>
      <c r="G62" t="s">
        <v>338</v>
      </c>
      <c r="H62" t="b">
        <v>0</v>
      </c>
      <c r="I62" t="b">
        <v>1</v>
      </c>
      <c r="J62" t="b">
        <v>1</v>
      </c>
      <c r="K62" t="s">
        <v>335</v>
      </c>
    </row>
    <row r="63" spans="1:11" x14ac:dyDescent="0.35">
      <c r="A63" t="s">
        <v>123</v>
      </c>
      <c r="B63" t="s">
        <v>131</v>
      </c>
      <c r="C63" t="s">
        <v>132</v>
      </c>
      <c r="D63" t="s">
        <v>126</v>
      </c>
      <c r="E63" t="s">
        <v>127</v>
      </c>
      <c r="F63" t="s">
        <v>368</v>
      </c>
      <c r="H63" t="b">
        <v>0</v>
      </c>
      <c r="I63" t="b">
        <v>0</v>
      </c>
      <c r="J63" t="b">
        <v>0</v>
      </c>
      <c r="K63" t="s">
        <v>335</v>
      </c>
    </row>
    <row r="64" spans="1:11" x14ac:dyDescent="0.35">
      <c r="A64" t="s">
        <v>123</v>
      </c>
      <c r="B64" t="s">
        <v>133</v>
      </c>
      <c r="C64" t="s">
        <v>134</v>
      </c>
      <c r="D64" t="s">
        <v>126</v>
      </c>
      <c r="E64" t="s">
        <v>127</v>
      </c>
      <c r="F64" t="s">
        <v>368</v>
      </c>
      <c r="H64" t="b">
        <v>0</v>
      </c>
      <c r="I64" t="b">
        <v>0</v>
      </c>
      <c r="J64" t="b">
        <v>0</v>
      </c>
      <c r="K64" t="s">
        <v>335</v>
      </c>
    </row>
    <row r="65" spans="1:11" x14ac:dyDescent="0.35">
      <c r="A65" t="s">
        <v>123</v>
      </c>
      <c r="B65" t="s">
        <v>135</v>
      </c>
      <c r="C65" t="s">
        <v>136</v>
      </c>
      <c r="D65" t="s">
        <v>126</v>
      </c>
      <c r="E65" t="s">
        <v>137</v>
      </c>
      <c r="F65" t="s">
        <v>368</v>
      </c>
      <c r="G65" t="s">
        <v>339</v>
      </c>
      <c r="H65" t="b">
        <v>0</v>
      </c>
      <c r="I65" t="b">
        <v>0</v>
      </c>
      <c r="J65" t="b">
        <v>0</v>
      </c>
    </row>
    <row r="66" spans="1:11" x14ac:dyDescent="0.35">
      <c r="A66" t="s">
        <v>123</v>
      </c>
      <c r="B66" t="s">
        <v>138</v>
      </c>
      <c r="C66" t="s">
        <v>139</v>
      </c>
      <c r="D66" t="s">
        <v>126</v>
      </c>
      <c r="E66" t="s">
        <v>130</v>
      </c>
      <c r="F66" t="s">
        <v>342</v>
      </c>
      <c r="G66" t="s">
        <v>338</v>
      </c>
      <c r="H66" t="b">
        <v>1</v>
      </c>
      <c r="I66" t="b">
        <v>1</v>
      </c>
      <c r="J66" t="b">
        <v>1</v>
      </c>
      <c r="K66" t="s">
        <v>335</v>
      </c>
    </row>
    <row r="67" spans="1:11" x14ac:dyDescent="0.35">
      <c r="A67" t="s">
        <v>123</v>
      </c>
      <c r="B67" t="s">
        <v>140</v>
      </c>
      <c r="C67" t="s">
        <v>141</v>
      </c>
      <c r="D67" t="s">
        <v>126</v>
      </c>
      <c r="E67" t="s">
        <v>137</v>
      </c>
      <c r="F67" t="s">
        <v>341</v>
      </c>
      <c r="G67" t="s">
        <v>339</v>
      </c>
      <c r="H67" t="b">
        <v>0</v>
      </c>
      <c r="I67" t="b">
        <v>1</v>
      </c>
      <c r="J67" t="b">
        <v>1</v>
      </c>
      <c r="K67" t="s">
        <v>335</v>
      </c>
    </row>
    <row r="68" spans="1:11" x14ac:dyDescent="0.35">
      <c r="A68" t="s">
        <v>123</v>
      </c>
      <c r="B68" t="s">
        <v>142</v>
      </c>
      <c r="C68" t="s">
        <v>143</v>
      </c>
      <c r="D68" t="s">
        <v>126</v>
      </c>
      <c r="E68" t="s">
        <v>130</v>
      </c>
      <c r="F68" t="s">
        <v>340</v>
      </c>
      <c r="G68" t="s">
        <v>338</v>
      </c>
      <c r="H68" t="b">
        <v>0</v>
      </c>
      <c r="I68" t="b">
        <v>1</v>
      </c>
      <c r="J68" t="b">
        <v>1</v>
      </c>
      <c r="K68" t="s">
        <v>335</v>
      </c>
    </row>
    <row r="69" spans="1:11" x14ac:dyDescent="0.35">
      <c r="A69" t="s">
        <v>123</v>
      </c>
      <c r="B69" t="s">
        <v>144</v>
      </c>
      <c r="C69" t="s">
        <v>145</v>
      </c>
      <c r="D69" t="s">
        <v>126</v>
      </c>
      <c r="E69" t="s">
        <v>130</v>
      </c>
      <c r="F69" t="s">
        <v>341</v>
      </c>
      <c r="G69" t="s">
        <v>338</v>
      </c>
      <c r="H69" t="b">
        <v>1</v>
      </c>
      <c r="I69" t="b">
        <v>1</v>
      </c>
      <c r="J69" t="b">
        <v>1</v>
      </c>
      <c r="K69" t="s">
        <v>335</v>
      </c>
    </row>
    <row r="70" spans="1:11" x14ac:dyDescent="0.35">
      <c r="A70" t="s">
        <v>123</v>
      </c>
      <c r="B70" t="s">
        <v>146</v>
      </c>
      <c r="C70" t="s">
        <v>147</v>
      </c>
      <c r="D70" t="s">
        <v>126</v>
      </c>
      <c r="E70" t="s">
        <v>130</v>
      </c>
      <c r="F70" t="s">
        <v>341</v>
      </c>
      <c r="G70" t="s">
        <v>338</v>
      </c>
      <c r="H70" t="b">
        <v>1</v>
      </c>
      <c r="I70" t="b">
        <v>1</v>
      </c>
      <c r="J70" t="b">
        <v>1</v>
      </c>
      <c r="K70" t="s">
        <v>335</v>
      </c>
    </row>
    <row r="71" spans="1:11" x14ac:dyDescent="0.35">
      <c r="A71" t="s">
        <v>123</v>
      </c>
      <c r="B71" t="s">
        <v>148</v>
      </c>
      <c r="C71" t="s">
        <v>149</v>
      </c>
      <c r="D71" t="s">
        <v>126</v>
      </c>
      <c r="E71" t="s">
        <v>130</v>
      </c>
      <c r="F71" t="s">
        <v>342</v>
      </c>
      <c r="G71" t="s">
        <v>338</v>
      </c>
      <c r="H71" t="b">
        <v>0</v>
      </c>
      <c r="I71" t="b">
        <v>1</v>
      </c>
      <c r="J71" t="b">
        <v>1</v>
      </c>
      <c r="K71" t="s">
        <v>335</v>
      </c>
    </row>
    <row r="72" spans="1:11" x14ac:dyDescent="0.35">
      <c r="A72" t="s">
        <v>150</v>
      </c>
      <c r="B72" t="s">
        <v>151</v>
      </c>
      <c r="C72" t="s">
        <v>152</v>
      </c>
      <c r="D72" t="s">
        <v>126</v>
      </c>
      <c r="E72" t="s">
        <v>153</v>
      </c>
      <c r="F72" t="s">
        <v>368</v>
      </c>
      <c r="H72" t="b">
        <v>0</v>
      </c>
      <c r="I72" t="b">
        <v>0</v>
      </c>
      <c r="J72" t="b">
        <v>0</v>
      </c>
    </row>
    <row r="73" spans="1:11" x14ac:dyDescent="0.35">
      <c r="A73" t="s">
        <v>150</v>
      </c>
      <c r="B73" t="s">
        <v>154</v>
      </c>
      <c r="C73" t="s">
        <v>155</v>
      </c>
      <c r="D73" t="s">
        <v>126</v>
      </c>
      <c r="E73" t="s">
        <v>127</v>
      </c>
      <c r="F73" t="s">
        <v>368</v>
      </c>
      <c r="H73" t="b">
        <v>0</v>
      </c>
      <c r="I73" t="b">
        <v>0</v>
      </c>
      <c r="J73" t="b">
        <v>0</v>
      </c>
    </row>
    <row r="74" spans="1:11" x14ac:dyDescent="0.35">
      <c r="A74" t="s">
        <v>156</v>
      </c>
      <c r="B74" t="s">
        <v>157</v>
      </c>
      <c r="C74" t="s">
        <v>158</v>
      </c>
      <c r="D74" t="s">
        <v>126</v>
      </c>
      <c r="E74" t="s">
        <v>153</v>
      </c>
      <c r="F74" t="s">
        <v>368</v>
      </c>
      <c r="G74" t="s">
        <v>339</v>
      </c>
      <c r="H74" t="b">
        <v>1</v>
      </c>
      <c r="I74" t="b">
        <v>0</v>
      </c>
      <c r="J74" t="b">
        <v>1</v>
      </c>
      <c r="K74" t="s">
        <v>335</v>
      </c>
    </row>
    <row r="75" spans="1:11" x14ac:dyDescent="0.35">
      <c r="A75" t="s">
        <v>159</v>
      </c>
      <c r="B75" t="s">
        <v>160</v>
      </c>
      <c r="C75" t="s">
        <v>161</v>
      </c>
      <c r="D75" t="s">
        <v>126</v>
      </c>
      <c r="E75" t="s">
        <v>127</v>
      </c>
      <c r="F75" t="s">
        <v>368</v>
      </c>
      <c r="H75" t="b">
        <v>0</v>
      </c>
      <c r="I75" t="b">
        <v>0</v>
      </c>
      <c r="J75" t="b">
        <v>0</v>
      </c>
    </row>
    <row r="76" spans="1:11" x14ac:dyDescent="0.35">
      <c r="A76" t="s">
        <v>162</v>
      </c>
      <c r="B76" t="s">
        <v>163</v>
      </c>
      <c r="C76" t="s">
        <v>164</v>
      </c>
      <c r="D76" t="s">
        <v>126</v>
      </c>
      <c r="E76" t="s">
        <v>137</v>
      </c>
      <c r="F76" t="s">
        <v>368</v>
      </c>
      <c r="G76" t="s">
        <v>339</v>
      </c>
      <c r="H76" t="b">
        <v>0</v>
      </c>
      <c r="I76" t="b">
        <v>0</v>
      </c>
      <c r="J76" t="b">
        <v>0</v>
      </c>
    </row>
    <row r="77" spans="1:11" x14ac:dyDescent="0.35">
      <c r="A77" t="s">
        <v>162</v>
      </c>
      <c r="B77" t="s">
        <v>165</v>
      </c>
      <c r="C77" t="s">
        <v>166</v>
      </c>
      <c r="D77" t="s">
        <v>126</v>
      </c>
      <c r="E77" t="s">
        <v>137</v>
      </c>
      <c r="F77" t="s">
        <v>340</v>
      </c>
      <c r="G77" t="s">
        <v>339</v>
      </c>
      <c r="H77" t="b">
        <v>1</v>
      </c>
      <c r="I77" t="b">
        <v>1</v>
      </c>
      <c r="J77" t="b">
        <v>1</v>
      </c>
      <c r="K77" t="s">
        <v>335</v>
      </c>
    </row>
    <row r="78" spans="1:11" x14ac:dyDescent="0.35">
      <c r="A78" t="s">
        <v>162</v>
      </c>
      <c r="B78" t="s">
        <v>167</v>
      </c>
      <c r="C78" t="s">
        <v>168</v>
      </c>
      <c r="D78" t="s">
        <v>126</v>
      </c>
      <c r="E78" t="s">
        <v>130</v>
      </c>
      <c r="F78" t="s">
        <v>368</v>
      </c>
      <c r="G78" t="s">
        <v>338</v>
      </c>
      <c r="H78" t="b">
        <v>0</v>
      </c>
      <c r="I78" t="b">
        <v>1</v>
      </c>
      <c r="J78" t="b">
        <v>1</v>
      </c>
      <c r="K78" t="s">
        <v>335</v>
      </c>
    </row>
    <row r="79" spans="1:11" x14ac:dyDescent="0.35">
      <c r="A79" t="s">
        <v>162</v>
      </c>
      <c r="B79" t="s">
        <v>169</v>
      </c>
      <c r="C79" t="s">
        <v>170</v>
      </c>
      <c r="D79" t="s">
        <v>126</v>
      </c>
      <c r="E79" t="s">
        <v>130</v>
      </c>
      <c r="F79" t="s">
        <v>340</v>
      </c>
      <c r="G79" t="s">
        <v>338</v>
      </c>
      <c r="H79" t="b">
        <v>0</v>
      </c>
      <c r="I79" t="b">
        <v>0</v>
      </c>
      <c r="J79" t="b">
        <v>1</v>
      </c>
      <c r="K79" t="s">
        <v>335</v>
      </c>
    </row>
    <row r="80" spans="1:11" x14ac:dyDescent="0.35">
      <c r="A80" t="s">
        <v>171</v>
      </c>
      <c r="B80" t="s">
        <v>172</v>
      </c>
      <c r="C80" t="s">
        <v>173</v>
      </c>
      <c r="D80" t="s">
        <v>126</v>
      </c>
      <c r="E80" t="s">
        <v>153</v>
      </c>
      <c r="F80" t="s">
        <v>368</v>
      </c>
      <c r="G80" t="s">
        <v>339</v>
      </c>
      <c r="H80" t="b">
        <v>0</v>
      </c>
      <c r="I80" t="b">
        <v>0</v>
      </c>
      <c r="J80" t="b">
        <v>0</v>
      </c>
      <c r="K80" t="s">
        <v>335</v>
      </c>
    </row>
    <row r="81" spans="1:11" x14ac:dyDescent="0.35">
      <c r="A81" t="s">
        <v>171</v>
      </c>
      <c r="B81" t="s">
        <v>174</v>
      </c>
      <c r="C81" t="s">
        <v>175</v>
      </c>
      <c r="D81" t="s">
        <v>126</v>
      </c>
      <c r="E81" t="s">
        <v>153</v>
      </c>
      <c r="F81" t="s">
        <v>368</v>
      </c>
      <c r="G81" t="s">
        <v>339</v>
      </c>
      <c r="H81" t="b">
        <v>0</v>
      </c>
      <c r="I81" t="b">
        <v>1</v>
      </c>
      <c r="J81" t="b">
        <v>0</v>
      </c>
      <c r="K81" t="s">
        <v>335</v>
      </c>
    </row>
    <row r="82" spans="1:11" x14ac:dyDescent="0.35">
      <c r="A82" t="s">
        <v>171</v>
      </c>
      <c r="B82" t="s">
        <v>176</v>
      </c>
      <c r="C82" t="s">
        <v>177</v>
      </c>
      <c r="D82" t="s">
        <v>126</v>
      </c>
      <c r="E82" t="s">
        <v>137</v>
      </c>
      <c r="F82" t="s">
        <v>368</v>
      </c>
      <c r="G82" t="s">
        <v>339</v>
      </c>
      <c r="H82" t="b">
        <v>0</v>
      </c>
      <c r="I82" t="b">
        <v>0</v>
      </c>
      <c r="J82" t="b">
        <v>0</v>
      </c>
      <c r="K82" t="s">
        <v>335</v>
      </c>
    </row>
    <row r="83" spans="1:11" x14ac:dyDescent="0.35">
      <c r="A83" t="s">
        <v>171</v>
      </c>
      <c r="B83" t="s">
        <v>178</v>
      </c>
      <c r="C83" t="s">
        <v>179</v>
      </c>
      <c r="D83" t="s">
        <v>126</v>
      </c>
      <c r="E83" t="s">
        <v>127</v>
      </c>
      <c r="F83" t="s">
        <v>368</v>
      </c>
      <c r="H83" t="b">
        <v>0</v>
      </c>
      <c r="I83" t="b">
        <v>0</v>
      </c>
      <c r="J83" t="b">
        <v>0</v>
      </c>
      <c r="K83" t="s">
        <v>335</v>
      </c>
    </row>
    <row r="84" spans="1:11" x14ac:dyDescent="0.35">
      <c r="A84" t="s">
        <v>171</v>
      </c>
      <c r="B84" t="s">
        <v>180</v>
      </c>
      <c r="C84" t="s">
        <v>181</v>
      </c>
      <c r="D84" t="s">
        <v>126</v>
      </c>
      <c r="E84" t="s">
        <v>153</v>
      </c>
      <c r="F84" t="s">
        <v>368</v>
      </c>
      <c r="G84" t="s">
        <v>339</v>
      </c>
      <c r="H84" t="b">
        <v>0</v>
      </c>
      <c r="I84" t="b">
        <v>1</v>
      </c>
      <c r="J84" t="b">
        <v>0</v>
      </c>
      <c r="K84" t="s">
        <v>335</v>
      </c>
    </row>
    <row r="85" spans="1:11" x14ac:dyDescent="0.35">
      <c r="A85" t="s">
        <v>182</v>
      </c>
      <c r="B85" t="s">
        <v>183</v>
      </c>
      <c r="C85" t="s">
        <v>184</v>
      </c>
      <c r="D85" t="s">
        <v>126</v>
      </c>
      <c r="E85" t="s">
        <v>127</v>
      </c>
      <c r="F85" t="s">
        <v>368</v>
      </c>
      <c r="H85" t="b">
        <v>0</v>
      </c>
      <c r="I85" t="b">
        <v>0</v>
      </c>
      <c r="J85" t="b">
        <v>0</v>
      </c>
    </row>
    <row r="86" spans="1:11" x14ac:dyDescent="0.35">
      <c r="A86" t="s">
        <v>185</v>
      </c>
      <c r="B86" t="s">
        <v>186</v>
      </c>
      <c r="C86" t="s">
        <v>187</v>
      </c>
      <c r="D86" t="s">
        <v>126</v>
      </c>
      <c r="E86" t="s">
        <v>153</v>
      </c>
      <c r="F86" t="s">
        <v>368</v>
      </c>
      <c r="G86" t="s">
        <v>339</v>
      </c>
      <c r="H86" t="b">
        <v>0</v>
      </c>
      <c r="I86" t="b">
        <v>1</v>
      </c>
      <c r="J86" t="b">
        <v>0</v>
      </c>
      <c r="K86" t="s">
        <v>335</v>
      </c>
    </row>
    <row r="87" spans="1:11" x14ac:dyDescent="0.35">
      <c r="A87" t="s">
        <v>185</v>
      </c>
      <c r="B87" t="s">
        <v>188</v>
      </c>
      <c r="C87" t="s">
        <v>189</v>
      </c>
      <c r="D87" t="s">
        <v>126</v>
      </c>
      <c r="E87" t="s">
        <v>130</v>
      </c>
      <c r="F87" t="s">
        <v>368</v>
      </c>
      <c r="G87" t="s">
        <v>338</v>
      </c>
      <c r="H87" t="b">
        <v>0</v>
      </c>
      <c r="I87" t="b">
        <v>0</v>
      </c>
      <c r="J87" t="b">
        <v>0</v>
      </c>
      <c r="K87" t="s">
        <v>335</v>
      </c>
    </row>
    <row r="88" spans="1:11" x14ac:dyDescent="0.35">
      <c r="A88" t="s">
        <v>190</v>
      </c>
      <c r="B88" t="s">
        <v>191</v>
      </c>
      <c r="C88" t="s">
        <v>192</v>
      </c>
      <c r="D88" t="s">
        <v>126</v>
      </c>
      <c r="E88" t="s">
        <v>130</v>
      </c>
      <c r="F88" t="s">
        <v>342</v>
      </c>
      <c r="G88" t="s">
        <v>338</v>
      </c>
      <c r="H88" t="b">
        <v>1</v>
      </c>
      <c r="I88" t="b">
        <v>1</v>
      </c>
      <c r="J88" t="b">
        <v>1</v>
      </c>
      <c r="K88" t="s">
        <v>335</v>
      </c>
    </row>
    <row r="89" spans="1:11" x14ac:dyDescent="0.35">
      <c r="A89" t="s">
        <v>190</v>
      </c>
      <c r="B89" t="s">
        <v>193</v>
      </c>
      <c r="C89" t="s">
        <v>194</v>
      </c>
      <c r="D89" t="s">
        <v>126</v>
      </c>
      <c r="E89" t="s">
        <v>130</v>
      </c>
      <c r="F89" t="s">
        <v>368</v>
      </c>
      <c r="G89" t="s">
        <v>338</v>
      </c>
      <c r="H89" t="b">
        <v>0</v>
      </c>
      <c r="I89" t="b">
        <v>0</v>
      </c>
      <c r="J89" t="b">
        <v>0</v>
      </c>
    </row>
    <row r="90" spans="1:11" x14ac:dyDescent="0.35">
      <c r="A90" t="s">
        <v>195</v>
      </c>
      <c r="B90" t="s">
        <v>196</v>
      </c>
      <c r="C90" t="s">
        <v>197</v>
      </c>
      <c r="D90" t="s">
        <v>126</v>
      </c>
      <c r="E90" t="s">
        <v>137</v>
      </c>
      <c r="F90" t="s">
        <v>340</v>
      </c>
      <c r="G90" t="s">
        <v>339</v>
      </c>
      <c r="H90" t="b">
        <v>0</v>
      </c>
      <c r="I90" t="b">
        <v>0</v>
      </c>
      <c r="J90" t="b">
        <v>0</v>
      </c>
      <c r="K90" t="s">
        <v>335</v>
      </c>
    </row>
    <row r="91" spans="1:11" x14ac:dyDescent="0.35">
      <c r="A91" t="s">
        <v>195</v>
      </c>
      <c r="B91" t="s">
        <v>198</v>
      </c>
      <c r="C91" t="s">
        <v>199</v>
      </c>
      <c r="D91" t="s">
        <v>126</v>
      </c>
      <c r="E91" t="s">
        <v>137</v>
      </c>
      <c r="F91" t="s">
        <v>368</v>
      </c>
      <c r="G91" t="s">
        <v>339</v>
      </c>
      <c r="H91" t="b">
        <v>0</v>
      </c>
      <c r="I91" t="b">
        <v>0</v>
      </c>
      <c r="J91" t="b">
        <v>0</v>
      </c>
      <c r="K91" t="s">
        <v>335</v>
      </c>
    </row>
    <row r="92" spans="1:11" x14ac:dyDescent="0.35">
      <c r="A92" t="s">
        <v>195</v>
      </c>
      <c r="B92" t="s">
        <v>200</v>
      </c>
      <c r="C92" t="s">
        <v>201</v>
      </c>
      <c r="D92" t="s">
        <v>126</v>
      </c>
      <c r="E92" t="s">
        <v>153</v>
      </c>
      <c r="F92" t="s">
        <v>342</v>
      </c>
      <c r="G92" t="s">
        <v>339</v>
      </c>
      <c r="H92" t="b">
        <v>0</v>
      </c>
      <c r="I92" t="b">
        <v>1</v>
      </c>
      <c r="J92" t="b">
        <v>1</v>
      </c>
      <c r="K92" t="s">
        <v>335</v>
      </c>
    </row>
    <row r="93" spans="1:11" x14ac:dyDescent="0.35">
      <c r="A93" t="s">
        <v>202</v>
      </c>
      <c r="B93" t="s">
        <v>203</v>
      </c>
      <c r="C93" t="s">
        <v>204</v>
      </c>
      <c r="D93" t="s">
        <v>126</v>
      </c>
      <c r="E93" t="s">
        <v>137</v>
      </c>
      <c r="F93" t="s">
        <v>368</v>
      </c>
      <c r="H93" t="b">
        <v>0</v>
      </c>
      <c r="I93" t="b">
        <v>0</v>
      </c>
      <c r="J93" t="b">
        <v>0</v>
      </c>
    </row>
    <row r="94" spans="1:11" x14ac:dyDescent="0.35">
      <c r="A94" t="s">
        <v>202</v>
      </c>
      <c r="B94" t="s">
        <v>205</v>
      </c>
      <c r="C94" t="s">
        <v>206</v>
      </c>
      <c r="D94" t="s">
        <v>126</v>
      </c>
      <c r="E94" t="s">
        <v>137</v>
      </c>
      <c r="F94" t="s">
        <v>368</v>
      </c>
      <c r="H94" t="b">
        <v>0</v>
      </c>
      <c r="I94" t="b">
        <v>0</v>
      </c>
      <c r="J94" t="b">
        <v>0</v>
      </c>
    </row>
    <row r="95" spans="1:11" x14ac:dyDescent="0.35">
      <c r="A95" t="s">
        <v>202</v>
      </c>
      <c r="B95" t="s">
        <v>207</v>
      </c>
      <c r="C95" t="s">
        <v>208</v>
      </c>
      <c r="D95" t="s">
        <v>126</v>
      </c>
      <c r="E95" t="s">
        <v>137</v>
      </c>
      <c r="F95" t="s">
        <v>368</v>
      </c>
      <c r="H95" t="b">
        <v>0</v>
      </c>
      <c r="I95" t="b">
        <v>0</v>
      </c>
      <c r="J95" t="b">
        <v>0</v>
      </c>
    </row>
    <row r="96" spans="1:11" x14ac:dyDescent="0.35">
      <c r="A96" t="s">
        <v>202</v>
      </c>
      <c r="B96" t="s">
        <v>209</v>
      </c>
      <c r="C96" t="s">
        <v>210</v>
      </c>
      <c r="D96" t="s">
        <v>126</v>
      </c>
      <c r="E96" t="s">
        <v>127</v>
      </c>
      <c r="F96" t="s">
        <v>368</v>
      </c>
      <c r="H96" t="b">
        <v>0</v>
      </c>
      <c r="I96" t="b">
        <v>0</v>
      </c>
      <c r="J96" t="b">
        <v>0</v>
      </c>
    </row>
    <row r="97" spans="1:11" x14ac:dyDescent="0.35">
      <c r="A97" t="s">
        <v>211</v>
      </c>
      <c r="B97" t="s">
        <v>212</v>
      </c>
      <c r="C97" t="s">
        <v>213</v>
      </c>
      <c r="D97" t="s">
        <v>126</v>
      </c>
      <c r="E97" t="s">
        <v>153</v>
      </c>
      <c r="F97" t="s">
        <v>368</v>
      </c>
      <c r="G97" t="s">
        <v>339</v>
      </c>
      <c r="H97" t="b">
        <v>0</v>
      </c>
      <c r="I97" t="b">
        <v>0</v>
      </c>
      <c r="J97" t="b">
        <v>0</v>
      </c>
    </row>
    <row r="98" spans="1:11" x14ac:dyDescent="0.35">
      <c r="A98" t="s">
        <v>211</v>
      </c>
      <c r="B98" t="s">
        <v>214</v>
      </c>
      <c r="C98" t="s">
        <v>215</v>
      </c>
      <c r="D98" t="s">
        <v>126</v>
      </c>
      <c r="E98" t="s">
        <v>216</v>
      </c>
      <c r="F98" t="s">
        <v>340</v>
      </c>
      <c r="G98" t="s">
        <v>339</v>
      </c>
      <c r="H98" t="b">
        <v>0</v>
      </c>
      <c r="I98" t="b">
        <v>1</v>
      </c>
      <c r="J98" t="b">
        <v>0</v>
      </c>
      <c r="K98" t="s">
        <v>335</v>
      </c>
    </row>
    <row r="99" spans="1:11" x14ac:dyDescent="0.35">
      <c r="A99" t="s">
        <v>211</v>
      </c>
      <c r="B99" t="s">
        <v>217</v>
      </c>
      <c r="C99" t="s">
        <v>218</v>
      </c>
      <c r="D99" t="s">
        <v>126</v>
      </c>
      <c r="E99" t="s">
        <v>127</v>
      </c>
      <c r="F99" t="s">
        <v>341</v>
      </c>
      <c r="H99" t="b">
        <v>0</v>
      </c>
      <c r="I99" t="b">
        <v>0</v>
      </c>
      <c r="J99" t="b">
        <v>0</v>
      </c>
      <c r="K99" t="s">
        <v>335</v>
      </c>
    </row>
    <row r="100" spans="1:11" x14ac:dyDescent="0.35">
      <c r="A100" t="s">
        <v>211</v>
      </c>
      <c r="B100" t="s">
        <v>219</v>
      </c>
      <c r="C100" t="s">
        <v>220</v>
      </c>
      <c r="D100" t="s">
        <v>126</v>
      </c>
      <c r="E100" t="s">
        <v>153</v>
      </c>
      <c r="F100" t="s">
        <v>341</v>
      </c>
      <c r="G100" t="s">
        <v>339</v>
      </c>
      <c r="H100" t="b">
        <v>1</v>
      </c>
      <c r="I100" t="b">
        <v>1</v>
      </c>
      <c r="J100" t="b">
        <v>1</v>
      </c>
      <c r="K100" t="s">
        <v>335</v>
      </c>
    </row>
    <row r="101" spans="1:11" x14ac:dyDescent="0.35">
      <c r="A101" t="s">
        <v>211</v>
      </c>
      <c r="B101" t="s">
        <v>221</v>
      </c>
      <c r="C101" t="s">
        <v>222</v>
      </c>
      <c r="D101" t="s">
        <v>126</v>
      </c>
      <c r="E101" t="s">
        <v>153</v>
      </c>
      <c r="F101" t="s">
        <v>368</v>
      </c>
      <c r="G101" t="s">
        <v>339</v>
      </c>
      <c r="H101" t="b">
        <v>0</v>
      </c>
      <c r="I101" t="b">
        <v>1</v>
      </c>
      <c r="J101" t="b">
        <v>0</v>
      </c>
    </row>
    <row r="102" spans="1:11" x14ac:dyDescent="0.35">
      <c r="A102" t="s">
        <v>211</v>
      </c>
      <c r="B102" t="s">
        <v>223</v>
      </c>
      <c r="C102" t="s">
        <v>224</v>
      </c>
      <c r="D102" t="s">
        <v>126</v>
      </c>
      <c r="E102" t="s">
        <v>153</v>
      </c>
      <c r="F102" t="s">
        <v>368</v>
      </c>
      <c r="H102" t="b">
        <v>0</v>
      </c>
      <c r="I102" t="b">
        <v>0</v>
      </c>
      <c r="J102" t="b">
        <v>0</v>
      </c>
    </row>
    <row r="103" spans="1:11" x14ac:dyDescent="0.35">
      <c r="A103" t="s">
        <v>211</v>
      </c>
      <c r="B103" t="s">
        <v>225</v>
      </c>
      <c r="C103" t="s">
        <v>226</v>
      </c>
      <c r="D103" t="s">
        <v>126</v>
      </c>
      <c r="E103" t="s">
        <v>127</v>
      </c>
      <c r="F103" t="s">
        <v>368</v>
      </c>
      <c r="H103" t="b">
        <v>0</v>
      </c>
      <c r="I103" t="b">
        <v>0</v>
      </c>
      <c r="J103" t="b">
        <v>0</v>
      </c>
    </row>
    <row r="104" spans="1:11" x14ac:dyDescent="0.35">
      <c r="A104" t="s">
        <v>211</v>
      </c>
      <c r="B104" t="s">
        <v>227</v>
      </c>
      <c r="C104" t="s">
        <v>228</v>
      </c>
      <c r="D104" t="s">
        <v>126</v>
      </c>
      <c r="E104" t="s">
        <v>216</v>
      </c>
      <c r="F104" t="s">
        <v>340</v>
      </c>
      <c r="G104" t="s">
        <v>339</v>
      </c>
      <c r="H104" t="b">
        <v>1</v>
      </c>
      <c r="I104" t="b">
        <v>1</v>
      </c>
      <c r="J104" t="b">
        <v>1</v>
      </c>
      <c r="K104" t="s">
        <v>335</v>
      </c>
    </row>
    <row r="105" spans="1:11" x14ac:dyDescent="0.35">
      <c r="A105" t="s">
        <v>211</v>
      </c>
      <c r="B105" t="s">
        <v>229</v>
      </c>
      <c r="C105" t="s">
        <v>230</v>
      </c>
      <c r="D105" t="s">
        <v>126</v>
      </c>
      <c r="E105" t="s">
        <v>153</v>
      </c>
      <c r="F105" t="s">
        <v>340</v>
      </c>
      <c r="G105" t="s">
        <v>339</v>
      </c>
      <c r="H105" t="b">
        <v>0</v>
      </c>
      <c r="I105" t="b">
        <v>1</v>
      </c>
      <c r="J105" t="b">
        <v>0</v>
      </c>
      <c r="K105" t="s">
        <v>335</v>
      </c>
    </row>
    <row r="106" spans="1:11" x14ac:dyDescent="0.35">
      <c r="A106" t="s">
        <v>211</v>
      </c>
      <c r="B106" t="s">
        <v>231</v>
      </c>
      <c r="C106" t="s">
        <v>232</v>
      </c>
      <c r="D106" t="s">
        <v>126</v>
      </c>
      <c r="E106" t="s">
        <v>153</v>
      </c>
      <c r="F106" t="s">
        <v>368</v>
      </c>
      <c r="G106" t="s">
        <v>339</v>
      </c>
      <c r="H106" t="b">
        <v>1</v>
      </c>
      <c r="I106" t="b">
        <v>1</v>
      </c>
      <c r="J106" t="b">
        <v>1</v>
      </c>
      <c r="K106" t="s">
        <v>335</v>
      </c>
    </row>
    <row r="107" spans="1:11" x14ac:dyDescent="0.35">
      <c r="A107" t="s">
        <v>211</v>
      </c>
      <c r="B107" t="s">
        <v>233</v>
      </c>
      <c r="C107" t="s">
        <v>234</v>
      </c>
      <c r="D107" t="s">
        <v>235</v>
      </c>
      <c r="F107" t="s">
        <v>340</v>
      </c>
      <c r="H107" t="b">
        <v>0</v>
      </c>
      <c r="I107" t="b">
        <v>0</v>
      </c>
      <c r="J107" t="b">
        <v>1</v>
      </c>
      <c r="K107" t="s">
        <v>335</v>
      </c>
    </row>
    <row r="108" spans="1:11" x14ac:dyDescent="0.35">
      <c r="A108" t="s">
        <v>211</v>
      </c>
      <c r="B108" t="s">
        <v>236</v>
      </c>
      <c r="C108" t="s">
        <v>237</v>
      </c>
      <c r="D108" t="s">
        <v>126</v>
      </c>
      <c r="E108" t="s">
        <v>216</v>
      </c>
      <c r="F108" t="s">
        <v>341</v>
      </c>
      <c r="G108" t="s">
        <v>339</v>
      </c>
      <c r="H108" t="b">
        <v>0</v>
      </c>
      <c r="I108" t="b">
        <v>1</v>
      </c>
      <c r="J108" t="b">
        <v>0</v>
      </c>
      <c r="K108" t="s">
        <v>335</v>
      </c>
    </row>
    <row r="109" spans="1:11" x14ac:dyDescent="0.35">
      <c r="A109" t="s">
        <v>211</v>
      </c>
      <c r="B109" t="s">
        <v>238</v>
      </c>
      <c r="C109" t="s">
        <v>239</v>
      </c>
      <c r="D109" t="s">
        <v>126</v>
      </c>
      <c r="E109" t="s">
        <v>127</v>
      </c>
      <c r="F109" t="s">
        <v>340</v>
      </c>
      <c r="H109" t="b">
        <v>0</v>
      </c>
      <c r="I109" t="b">
        <v>0</v>
      </c>
      <c r="J109" t="b">
        <v>0</v>
      </c>
      <c r="K109" t="s">
        <v>335</v>
      </c>
    </row>
    <row r="110" spans="1:11" x14ac:dyDescent="0.35">
      <c r="A110" t="s">
        <v>240</v>
      </c>
      <c r="B110" t="s">
        <v>241</v>
      </c>
      <c r="C110" t="s">
        <v>242</v>
      </c>
      <c r="D110" t="s">
        <v>126</v>
      </c>
      <c r="E110" t="s">
        <v>127</v>
      </c>
      <c r="F110" t="s">
        <v>340</v>
      </c>
      <c r="H110" t="b">
        <v>0</v>
      </c>
      <c r="I110" t="b">
        <v>0</v>
      </c>
      <c r="J110" t="b">
        <v>0</v>
      </c>
    </row>
    <row r="111" spans="1:11" x14ac:dyDescent="0.35">
      <c r="A111" t="s">
        <v>240</v>
      </c>
      <c r="B111" t="s">
        <v>243</v>
      </c>
      <c r="C111" t="s">
        <v>244</v>
      </c>
      <c r="D111" t="s">
        <v>126</v>
      </c>
      <c r="E111" t="s">
        <v>127</v>
      </c>
      <c r="F111" t="s">
        <v>341</v>
      </c>
      <c r="H111" t="b">
        <v>0</v>
      </c>
      <c r="I111" t="b">
        <v>0</v>
      </c>
      <c r="J111" t="b">
        <v>0</v>
      </c>
    </row>
    <row r="112" spans="1:11" x14ac:dyDescent="0.35">
      <c r="A112" t="s">
        <v>240</v>
      </c>
      <c r="B112" t="s">
        <v>245</v>
      </c>
      <c r="C112" t="s">
        <v>246</v>
      </c>
      <c r="D112" t="s">
        <v>126</v>
      </c>
      <c r="E112" t="s">
        <v>137</v>
      </c>
      <c r="F112" t="s">
        <v>368</v>
      </c>
      <c r="G112" t="s">
        <v>339</v>
      </c>
      <c r="H112" t="b">
        <v>0</v>
      </c>
      <c r="I112" t="b">
        <v>0</v>
      </c>
      <c r="J112" t="b">
        <v>0</v>
      </c>
      <c r="K112" t="s">
        <v>335</v>
      </c>
    </row>
    <row r="113" spans="1:11" x14ac:dyDescent="0.35">
      <c r="A113" t="s">
        <v>240</v>
      </c>
      <c r="B113" t="s">
        <v>247</v>
      </c>
      <c r="C113" t="s">
        <v>248</v>
      </c>
      <c r="D113" t="s">
        <v>126</v>
      </c>
      <c r="E113" t="s">
        <v>137</v>
      </c>
      <c r="F113" t="s">
        <v>341</v>
      </c>
      <c r="G113" t="s">
        <v>339</v>
      </c>
      <c r="H113" t="b">
        <v>0</v>
      </c>
      <c r="I113" t="b">
        <v>1</v>
      </c>
      <c r="J113" t="b">
        <v>0</v>
      </c>
      <c r="K113" t="s">
        <v>335</v>
      </c>
    </row>
    <row r="114" spans="1:11" x14ac:dyDescent="0.35">
      <c r="A114" t="s">
        <v>240</v>
      </c>
      <c r="B114" t="s">
        <v>249</v>
      </c>
      <c r="C114" t="s">
        <v>250</v>
      </c>
      <c r="D114" t="s">
        <v>126</v>
      </c>
      <c r="E114" t="s">
        <v>130</v>
      </c>
      <c r="F114" t="s">
        <v>340</v>
      </c>
      <c r="G114" t="s">
        <v>338</v>
      </c>
      <c r="H114" t="b">
        <v>0</v>
      </c>
      <c r="I114" t="b">
        <v>0</v>
      </c>
      <c r="J114" t="b">
        <v>1</v>
      </c>
      <c r="K114" t="s">
        <v>335</v>
      </c>
    </row>
    <row r="115" spans="1:11" x14ac:dyDescent="0.35">
      <c r="A115" t="s">
        <v>240</v>
      </c>
      <c r="B115" t="s">
        <v>251</v>
      </c>
      <c r="C115" t="s">
        <v>252</v>
      </c>
      <c r="D115" t="s">
        <v>126</v>
      </c>
      <c r="E115" t="s">
        <v>137</v>
      </c>
      <c r="F115" t="s">
        <v>340</v>
      </c>
      <c r="G115" t="s">
        <v>339</v>
      </c>
      <c r="H115" t="b">
        <v>0</v>
      </c>
      <c r="I115" t="b">
        <v>1</v>
      </c>
      <c r="J115" t="b">
        <v>0</v>
      </c>
      <c r="K115" t="s">
        <v>335</v>
      </c>
    </row>
    <row r="116" spans="1:11" x14ac:dyDescent="0.35">
      <c r="A116" t="s">
        <v>240</v>
      </c>
      <c r="B116" t="s">
        <v>253</v>
      </c>
      <c r="C116" t="s">
        <v>254</v>
      </c>
      <c r="D116" t="s">
        <v>126</v>
      </c>
      <c r="E116" t="s">
        <v>137</v>
      </c>
      <c r="F116" t="s">
        <v>341</v>
      </c>
      <c r="G116" t="s">
        <v>339</v>
      </c>
      <c r="H116" t="b">
        <v>0</v>
      </c>
      <c r="I116" t="b">
        <v>0</v>
      </c>
      <c r="J116" t="b">
        <v>0</v>
      </c>
    </row>
    <row r="117" spans="1:11" x14ac:dyDescent="0.35">
      <c r="A117" t="s">
        <v>240</v>
      </c>
      <c r="B117" t="s">
        <v>255</v>
      </c>
      <c r="C117" t="s">
        <v>256</v>
      </c>
      <c r="D117" t="s">
        <v>126</v>
      </c>
      <c r="E117" t="s">
        <v>153</v>
      </c>
      <c r="F117" t="s">
        <v>368</v>
      </c>
      <c r="G117" t="s">
        <v>339</v>
      </c>
      <c r="H117" t="b">
        <v>0</v>
      </c>
      <c r="I117" t="b">
        <v>0</v>
      </c>
      <c r="J117" t="b">
        <v>0</v>
      </c>
    </row>
    <row r="118" spans="1:11" x14ac:dyDescent="0.35">
      <c r="A118" t="s">
        <v>240</v>
      </c>
      <c r="B118" t="s">
        <v>257</v>
      </c>
      <c r="C118" t="s">
        <v>258</v>
      </c>
      <c r="D118" t="s">
        <v>126</v>
      </c>
      <c r="E118" t="s">
        <v>153</v>
      </c>
      <c r="F118" t="s">
        <v>341</v>
      </c>
      <c r="G118" t="s">
        <v>339</v>
      </c>
      <c r="H118" t="b">
        <v>0</v>
      </c>
      <c r="I118" t="b">
        <v>0</v>
      </c>
      <c r="J118" t="b">
        <v>0</v>
      </c>
    </row>
    <row r="119" spans="1:11" x14ac:dyDescent="0.35">
      <c r="A119" t="s">
        <v>240</v>
      </c>
      <c r="B119" t="s">
        <v>259</v>
      </c>
      <c r="C119" t="s">
        <v>260</v>
      </c>
      <c r="D119" t="s">
        <v>126</v>
      </c>
      <c r="E119" t="s">
        <v>130</v>
      </c>
      <c r="F119" t="s">
        <v>340</v>
      </c>
      <c r="G119" t="s">
        <v>338</v>
      </c>
      <c r="H119" t="b">
        <v>1</v>
      </c>
      <c r="I119" t="b">
        <v>1</v>
      </c>
      <c r="J119" t="b">
        <v>1</v>
      </c>
      <c r="K119" t="s">
        <v>335</v>
      </c>
    </row>
    <row r="120" spans="1:11" x14ac:dyDescent="0.35">
      <c r="A120" t="s">
        <v>240</v>
      </c>
      <c r="B120" t="s">
        <v>261</v>
      </c>
      <c r="C120" t="s">
        <v>262</v>
      </c>
      <c r="D120" t="s">
        <v>126</v>
      </c>
      <c r="E120" t="s">
        <v>130</v>
      </c>
      <c r="F120" t="s">
        <v>340</v>
      </c>
      <c r="G120" t="s">
        <v>338</v>
      </c>
      <c r="H120" t="b">
        <v>0</v>
      </c>
      <c r="I120" t="b">
        <v>0</v>
      </c>
      <c r="J120" t="b">
        <v>0</v>
      </c>
    </row>
    <row r="121" spans="1:11" x14ac:dyDescent="0.35">
      <c r="A121" t="s">
        <v>240</v>
      </c>
      <c r="B121" t="s">
        <v>263</v>
      </c>
      <c r="C121" t="s">
        <v>264</v>
      </c>
      <c r="D121" t="s">
        <v>126</v>
      </c>
      <c r="E121" t="s">
        <v>137</v>
      </c>
      <c r="F121" t="s">
        <v>368</v>
      </c>
      <c r="G121" t="s">
        <v>339</v>
      </c>
      <c r="H121" t="b">
        <v>0</v>
      </c>
      <c r="I121" t="b">
        <v>0</v>
      </c>
      <c r="J121" t="b">
        <v>0</v>
      </c>
      <c r="K121" t="s">
        <v>335</v>
      </c>
    </row>
    <row r="122" spans="1:11" x14ac:dyDescent="0.35">
      <c r="A122" t="s">
        <v>265</v>
      </c>
      <c r="B122" t="s">
        <v>266</v>
      </c>
      <c r="C122" t="s">
        <v>267</v>
      </c>
      <c r="D122" t="s">
        <v>126</v>
      </c>
      <c r="E122" t="s">
        <v>130</v>
      </c>
      <c r="F122" t="s">
        <v>368</v>
      </c>
      <c r="G122" t="s">
        <v>338</v>
      </c>
      <c r="H122" t="b">
        <v>0</v>
      </c>
      <c r="I122" t="b">
        <v>1</v>
      </c>
      <c r="J122" t="b">
        <v>1</v>
      </c>
      <c r="K122" t="s">
        <v>335</v>
      </c>
    </row>
    <row r="123" spans="1:11" x14ac:dyDescent="0.35">
      <c r="A123" t="s">
        <v>265</v>
      </c>
      <c r="B123" t="s">
        <v>268</v>
      </c>
      <c r="C123" t="s">
        <v>269</v>
      </c>
      <c r="D123" t="s">
        <v>126</v>
      </c>
      <c r="E123" t="s">
        <v>137</v>
      </c>
      <c r="F123" t="s">
        <v>342</v>
      </c>
      <c r="G123" t="s">
        <v>339</v>
      </c>
      <c r="H123" t="b">
        <v>0</v>
      </c>
      <c r="I123" t="b">
        <v>1</v>
      </c>
      <c r="J123" t="b">
        <v>0</v>
      </c>
      <c r="K123" t="s">
        <v>335</v>
      </c>
    </row>
    <row r="124" spans="1:11" x14ac:dyDescent="0.35">
      <c r="A124" t="s">
        <v>265</v>
      </c>
      <c r="B124" t="s">
        <v>270</v>
      </c>
      <c r="C124" t="s">
        <v>271</v>
      </c>
      <c r="D124" t="s">
        <v>126</v>
      </c>
      <c r="E124" t="s">
        <v>130</v>
      </c>
      <c r="F124" t="s">
        <v>342</v>
      </c>
      <c r="G124" t="s">
        <v>338</v>
      </c>
      <c r="H124" t="b">
        <v>0</v>
      </c>
      <c r="I124" t="b">
        <v>1</v>
      </c>
      <c r="J124" t="b">
        <v>1</v>
      </c>
      <c r="K124" t="s">
        <v>335</v>
      </c>
    </row>
    <row r="125" spans="1:11" x14ac:dyDescent="0.35">
      <c r="A125" t="s">
        <v>265</v>
      </c>
      <c r="B125" t="s">
        <v>272</v>
      </c>
      <c r="C125" t="s">
        <v>273</v>
      </c>
      <c r="D125" t="s">
        <v>126</v>
      </c>
      <c r="E125" t="s">
        <v>130</v>
      </c>
      <c r="F125" t="s">
        <v>368</v>
      </c>
      <c r="G125" t="s">
        <v>338</v>
      </c>
      <c r="H125" t="b">
        <v>0</v>
      </c>
      <c r="I125" t="b">
        <v>1</v>
      </c>
      <c r="J125" t="b">
        <v>1</v>
      </c>
      <c r="K125" t="s">
        <v>335</v>
      </c>
    </row>
    <row r="126" spans="1:11" x14ac:dyDescent="0.35">
      <c r="A126" t="s">
        <v>265</v>
      </c>
      <c r="B126" t="s">
        <v>274</v>
      </c>
      <c r="C126" t="s">
        <v>275</v>
      </c>
      <c r="D126" t="s">
        <v>126</v>
      </c>
      <c r="E126" t="s">
        <v>130</v>
      </c>
      <c r="F126" t="s">
        <v>368</v>
      </c>
      <c r="G126" t="s">
        <v>338</v>
      </c>
      <c r="H126" t="b">
        <v>0</v>
      </c>
      <c r="I126" t="b">
        <v>1</v>
      </c>
      <c r="J126" t="b">
        <v>1</v>
      </c>
      <c r="K126" t="s">
        <v>335</v>
      </c>
    </row>
    <row r="127" spans="1:11" x14ac:dyDescent="0.35">
      <c r="A127" t="s">
        <v>265</v>
      </c>
      <c r="B127" t="s">
        <v>276</v>
      </c>
      <c r="C127" t="s">
        <v>277</v>
      </c>
      <c r="D127" t="s">
        <v>126</v>
      </c>
      <c r="E127" t="s">
        <v>130</v>
      </c>
      <c r="F127" t="s">
        <v>368</v>
      </c>
      <c r="G127" t="s">
        <v>338</v>
      </c>
      <c r="H127" t="b">
        <v>0</v>
      </c>
      <c r="I127" t="b">
        <v>1</v>
      </c>
      <c r="J127" t="b">
        <v>1</v>
      </c>
      <c r="K127" t="s">
        <v>335</v>
      </c>
    </row>
    <row r="128" spans="1:11" x14ac:dyDescent="0.35">
      <c r="A128" t="s">
        <v>265</v>
      </c>
      <c r="B128" t="s">
        <v>278</v>
      </c>
      <c r="C128" t="s">
        <v>279</v>
      </c>
      <c r="D128" t="s">
        <v>126</v>
      </c>
      <c r="E128" t="s">
        <v>130</v>
      </c>
      <c r="F128" t="s">
        <v>368</v>
      </c>
      <c r="G128" t="s">
        <v>338</v>
      </c>
      <c r="H128" t="b">
        <v>0</v>
      </c>
      <c r="I128" t="b">
        <v>1</v>
      </c>
      <c r="J128" t="b">
        <v>1</v>
      </c>
      <c r="K128" t="s">
        <v>335</v>
      </c>
    </row>
    <row r="129" spans="1:11" x14ac:dyDescent="0.35">
      <c r="A129" t="s">
        <v>265</v>
      </c>
      <c r="B129" t="s">
        <v>280</v>
      </c>
      <c r="C129" t="s">
        <v>281</v>
      </c>
      <c r="D129" t="s">
        <v>126</v>
      </c>
      <c r="E129" t="s">
        <v>130</v>
      </c>
      <c r="F129" t="s">
        <v>342</v>
      </c>
      <c r="G129" t="s">
        <v>338</v>
      </c>
      <c r="H129" t="b">
        <v>0</v>
      </c>
      <c r="I129" t="b">
        <v>1</v>
      </c>
      <c r="J129" t="b">
        <v>1</v>
      </c>
      <c r="K129" t="s">
        <v>335</v>
      </c>
    </row>
    <row r="130" spans="1:11" x14ac:dyDescent="0.35">
      <c r="A130" t="s">
        <v>265</v>
      </c>
      <c r="B130" t="s">
        <v>282</v>
      </c>
      <c r="C130" t="s">
        <v>283</v>
      </c>
      <c r="D130" t="s">
        <v>126</v>
      </c>
      <c r="E130" t="s">
        <v>137</v>
      </c>
      <c r="F130" t="s">
        <v>368</v>
      </c>
      <c r="G130" t="s">
        <v>339</v>
      </c>
      <c r="H130" t="b">
        <v>0</v>
      </c>
      <c r="I130" t="b">
        <v>1</v>
      </c>
      <c r="J130" t="b">
        <v>0</v>
      </c>
      <c r="K130" t="s">
        <v>335</v>
      </c>
    </row>
    <row r="131" spans="1:11" x14ac:dyDescent="0.35">
      <c r="A131" t="s">
        <v>265</v>
      </c>
      <c r="B131" t="s">
        <v>284</v>
      </c>
      <c r="C131" t="s">
        <v>285</v>
      </c>
      <c r="D131" t="s">
        <v>126</v>
      </c>
      <c r="E131" t="s">
        <v>137</v>
      </c>
      <c r="F131" t="s">
        <v>342</v>
      </c>
      <c r="G131" t="s">
        <v>339</v>
      </c>
      <c r="H131" t="b">
        <v>0</v>
      </c>
      <c r="I131" t="b">
        <v>1</v>
      </c>
      <c r="J131" t="b">
        <v>1</v>
      </c>
      <c r="K131" t="s">
        <v>335</v>
      </c>
    </row>
    <row r="132" spans="1:11" x14ac:dyDescent="0.35">
      <c r="A132" t="s">
        <v>265</v>
      </c>
      <c r="B132" t="s">
        <v>286</v>
      </c>
      <c r="C132" t="s">
        <v>287</v>
      </c>
      <c r="D132" t="s">
        <v>126</v>
      </c>
      <c r="E132" t="s">
        <v>130</v>
      </c>
      <c r="F132" t="s">
        <v>368</v>
      </c>
      <c r="G132" t="s">
        <v>338</v>
      </c>
      <c r="H132" t="b">
        <v>0</v>
      </c>
      <c r="I132" t="b">
        <v>1</v>
      </c>
      <c r="J132" t="b">
        <v>0</v>
      </c>
      <c r="K132" t="s">
        <v>335</v>
      </c>
    </row>
    <row r="133" spans="1:11" x14ac:dyDescent="0.35">
      <c r="A133" t="s">
        <v>265</v>
      </c>
      <c r="B133" t="s">
        <v>288</v>
      </c>
      <c r="C133" t="s">
        <v>289</v>
      </c>
      <c r="D133" t="s">
        <v>126</v>
      </c>
      <c r="E133" t="s">
        <v>137</v>
      </c>
      <c r="F133" t="s">
        <v>368</v>
      </c>
      <c r="G133" t="s">
        <v>339</v>
      </c>
      <c r="H133" t="b">
        <v>0</v>
      </c>
      <c r="I133" t="b">
        <v>0</v>
      </c>
      <c r="J133" t="b">
        <v>0</v>
      </c>
    </row>
    <row r="134" spans="1:11" x14ac:dyDescent="0.35">
      <c r="A134" t="s">
        <v>265</v>
      </c>
      <c r="B134" t="s">
        <v>290</v>
      </c>
      <c r="C134" t="s">
        <v>291</v>
      </c>
      <c r="D134" t="s">
        <v>126</v>
      </c>
      <c r="E134" t="s">
        <v>130</v>
      </c>
      <c r="F134" t="s">
        <v>341</v>
      </c>
      <c r="G134" t="s">
        <v>338</v>
      </c>
      <c r="H134" t="b">
        <v>0</v>
      </c>
      <c r="I134" t="b">
        <v>1</v>
      </c>
      <c r="J134" t="b">
        <v>1</v>
      </c>
      <c r="K134" t="s">
        <v>335</v>
      </c>
    </row>
    <row r="135" spans="1:11" x14ac:dyDescent="0.35">
      <c r="A135" t="s">
        <v>265</v>
      </c>
      <c r="B135" t="s">
        <v>292</v>
      </c>
      <c r="C135" t="s">
        <v>293</v>
      </c>
      <c r="D135" t="s">
        <v>126</v>
      </c>
      <c r="E135" t="s">
        <v>137</v>
      </c>
      <c r="F135" t="s">
        <v>342</v>
      </c>
      <c r="G135" t="s">
        <v>339</v>
      </c>
      <c r="H135" t="b">
        <v>0</v>
      </c>
      <c r="I135" t="b">
        <v>1</v>
      </c>
      <c r="J135" t="b">
        <v>1</v>
      </c>
      <c r="K135" t="s">
        <v>335</v>
      </c>
    </row>
    <row r="136" spans="1:11" x14ac:dyDescent="0.35">
      <c r="A136" t="s">
        <v>265</v>
      </c>
      <c r="B136" t="s">
        <v>294</v>
      </c>
      <c r="C136" t="s">
        <v>295</v>
      </c>
      <c r="D136" t="s">
        <v>126</v>
      </c>
      <c r="E136" t="s">
        <v>137</v>
      </c>
      <c r="F136" t="s">
        <v>368</v>
      </c>
      <c r="G136" t="s">
        <v>339</v>
      </c>
      <c r="H136" t="b">
        <v>0</v>
      </c>
      <c r="I136" t="b">
        <v>1</v>
      </c>
      <c r="J136" t="b">
        <v>0</v>
      </c>
      <c r="K136" t="s">
        <v>335</v>
      </c>
    </row>
    <row r="137" spans="1:11" x14ac:dyDescent="0.35">
      <c r="A137" t="s">
        <v>265</v>
      </c>
      <c r="B137" t="s">
        <v>296</v>
      </c>
      <c r="C137" t="s">
        <v>297</v>
      </c>
      <c r="D137" t="s">
        <v>126</v>
      </c>
      <c r="E137" t="s">
        <v>130</v>
      </c>
      <c r="F137" t="s">
        <v>341</v>
      </c>
      <c r="G137" t="s">
        <v>338</v>
      </c>
      <c r="H137" t="b">
        <v>0</v>
      </c>
      <c r="I137" t="b">
        <v>1</v>
      </c>
      <c r="J137" t="b">
        <v>1</v>
      </c>
      <c r="K137" t="s">
        <v>335</v>
      </c>
    </row>
    <row r="138" spans="1:11" x14ac:dyDescent="0.35">
      <c r="A138" t="s">
        <v>265</v>
      </c>
      <c r="B138" t="s">
        <v>298</v>
      </c>
      <c r="C138" t="s">
        <v>299</v>
      </c>
      <c r="D138" t="s">
        <v>126</v>
      </c>
      <c r="E138" t="s">
        <v>130</v>
      </c>
      <c r="F138" t="s">
        <v>368</v>
      </c>
      <c r="G138" t="s">
        <v>338</v>
      </c>
      <c r="H138" t="b">
        <v>0</v>
      </c>
      <c r="I138" t="b">
        <v>1</v>
      </c>
      <c r="J138" t="b">
        <v>1</v>
      </c>
      <c r="K138" t="s">
        <v>335</v>
      </c>
    </row>
    <row r="139" spans="1:11" x14ac:dyDescent="0.35">
      <c r="A139" t="s">
        <v>265</v>
      </c>
      <c r="B139" t="s">
        <v>300</v>
      </c>
      <c r="C139" t="s">
        <v>301</v>
      </c>
      <c r="D139" t="s">
        <v>126</v>
      </c>
      <c r="E139" t="s">
        <v>130</v>
      </c>
      <c r="F139" t="s">
        <v>368</v>
      </c>
      <c r="G139" t="s">
        <v>338</v>
      </c>
      <c r="H139" t="b">
        <v>0</v>
      </c>
      <c r="I139" t="b">
        <v>0</v>
      </c>
      <c r="J139" t="b">
        <v>0</v>
      </c>
      <c r="K139" t="s">
        <v>335</v>
      </c>
    </row>
    <row r="140" spans="1:11" x14ac:dyDescent="0.35">
      <c r="A140" t="s">
        <v>265</v>
      </c>
      <c r="B140" t="s">
        <v>302</v>
      </c>
      <c r="C140" t="s">
        <v>303</v>
      </c>
      <c r="D140" t="s">
        <v>126</v>
      </c>
      <c r="E140" t="s">
        <v>137</v>
      </c>
      <c r="F140" t="s">
        <v>340</v>
      </c>
      <c r="G140" t="s">
        <v>339</v>
      </c>
      <c r="H140" t="b">
        <v>0</v>
      </c>
      <c r="I140" t="b">
        <v>1</v>
      </c>
      <c r="J140" t="b">
        <v>0</v>
      </c>
      <c r="K140" t="s">
        <v>335</v>
      </c>
    </row>
    <row r="141" spans="1:11" x14ac:dyDescent="0.35">
      <c r="A141" t="s">
        <v>265</v>
      </c>
      <c r="B141" t="s">
        <v>304</v>
      </c>
      <c r="C141" t="s">
        <v>305</v>
      </c>
      <c r="D141" t="s">
        <v>126</v>
      </c>
      <c r="E141" t="s">
        <v>130</v>
      </c>
      <c r="F141" t="s">
        <v>368</v>
      </c>
      <c r="G141" t="s">
        <v>338</v>
      </c>
      <c r="H141" t="b">
        <v>0</v>
      </c>
      <c r="I141" t="b">
        <v>1</v>
      </c>
      <c r="J141" t="b">
        <v>1</v>
      </c>
      <c r="K141" t="s">
        <v>335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5F40C-E768-4328-88FB-E62EBE288A92}">
  <dimension ref="A1:F37"/>
  <sheetViews>
    <sheetView tabSelected="1" topLeftCell="A8" workbookViewId="0">
      <selection activeCell="A21" sqref="A21"/>
    </sheetView>
  </sheetViews>
  <sheetFormatPr defaultRowHeight="14.5" x14ac:dyDescent="0.35"/>
  <cols>
    <col min="1" max="1" width="23.453125" bestFit="1" customWidth="1"/>
    <col min="2" max="2" width="15" bestFit="1" customWidth="1"/>
    <col min="3" max="5" width="11.81640625" bestFit="1" customWidth="1"/>
    <col min="6" max="6" width="12.54296875" bestFit="1" customWidth="1"/>
  </cols>
  <sheetData>
    <row r="1" spans="1:6" x14ac:dyDescent="0.35">
      <c r="A1" s="1" t="s">
        <v>365</v>
      </c>
      <c r="B1" s="1" t="s">
        <v>364</v>
      </c>
      <c r="C1" s="1" t="s">
        <v>366</v>
      </c>
    </row>
    <row r="2" spans="1:6" x14ac:dyDescent="0.35">
      <c r="A2" t="s">
        <v>308</v>
      </c>
      <c r="B2" t="s">
        <v>362</v>
      </c>
      <c r="C2">
        <v>5</v>
      </c>
    </row>
    <row r="3" spans="1:6" x14ac:dyDescent="0.35">
      <c r="A3" t="s">
        <v>309</v>
      </c>
      <c r="B3" t="s">
        <v>363</v>
      </c>
      <c r="C3">
        <v>4</v>
      </c>
    </row>
    <row r="4" spans="1:6" x14ac:dyDescent="0.35">
      <c r="A4" t="s">
        <v>310</v>
      </c>
      <c r="B4" t="s">
        <v>347</v>
      </c>
      <c r="C4">
        <v>3</v>
      </c>
    </row>
    <row r="5" spans="1:6" x14ac:dyDescent="0.35">
      <c r="A5" t="s">
        <v>311</v>
      </c>
      <c r="B5" t="s">
        <v>346</v>
      </c>
      <c r="C5">
        <v>2</v>
      </c>
    </row>
    <row r="6" spans="1:6" x14ac:dyDescent="0.35">
      <c r="A6" t="s">
        <v>312</v>
      </c>
      <c r="B6" t="s">
        <v>324</v>
      </c>
      <c r="C6">
        <v>1</v>
      </c>
    </row>
    <row r="8" spans="1:6" ht="15" thickBot="1" x14ac:dyDescent="0.4">
      <c r="A8" t="s">
        <v>308</v>
      </c>
    </row>
    <row r="9" spans="1:6" ht="15" thickBot="1" x14ac:dyDescent="0.4">
      <c r="A9" s="6"/>
      <c r="B9" s="14" t="s">
        <v>369</v>
      </c>
      <c r="C9" s="7" t="s">
        <v>344</v>
      </c>
      <c r="D9" s="7" t="s">
        <v>343</v>
      </c>
      <c r="E9" s="7" t="s">
        <v>338</v>
      </c>
      <c r="F9" s="8" t="s">
        <v>339</v>
      </c>
    </row>
    <row r="10" spans="1:6" x14ac:dyDescent="0.35">
      <c r="A10" s="15" t="s">
        <v>369</v>
      </c>
      <c r="B10" s="6">
        <v>1</v>
      </c>
      <c r="C10" s="7">
        <f>1/3</f>
        <v>0.33333333333333331</v>
      </c>
      <c r="D10" s="7">
        <f>1/5</f>
        <v>0.2</v>
      </c>
      <c r="E10" s="7">
        <f>1/7</f>
        <v>0.14285714285714285</v>
      </c>
      <c r="F10" s="8">
        <f>1/9</f>
        <v>0.1111111111111111</v>
      </c>
    </row>
    <row r="11" spans="1:6" x14ac:dyDescent="0.35">
      <c r="A11" s="9" t="s">
        <v>344</v>
      </c>
      <c r="B11" s="9">
        <v>3</v>
      </c>
      <c r="C11">
        <v>1</v>
      </c>
      <c r="D11">
        <f>1/3</f>
        <v>0.33333333333333331</v>
      </c>
      <c r="E11">
        <f>1/5</f>
        <v>0.2</v>
      </c>
      <c r="F11" s="10">
        <f>1/7</f>
        <v>0.14285714285714285</v>
      </c>
    </row>
    <row r="12" spans="1:6" x14ac:dyDescent="0.35">
      <c r="A12" s="9" t="s">
        <v>343</v>
      </c>
      <c r="B12" s="9">
        <v>5</v>
      </c>
      <c r="C12">
        <v>3</v>
      </c>
      <c r="D12">
        <v>1</v>
      </c>
      <c r="E12">
        <v>1</v>
      </c>
      <c r="F12" s="10">
        <v>0.2</v>
      </c>
    </row>
    <row r="13" spans="1:6" x14ac:dyDescent="0.35">
      <c r="A13" s="9" t="s">
        <v>338</v>
      </c>
      <c r="B13" s="9">
        <v>7</v>
      </c>
      <c r="C13">
        <v>5</v>
      </c>
      <c r="D13">
        <v>1</v>
      </c>
      <c r="E13">
        <v>1</v>
      </c>
      <c r="F13" s="10">
        <v>0.2</v>
      </c>
    </row>
    <row r="14" spans="1:6" ht="15" thickBot="1" x14ac:dyDescent="0.4">
      <c r="A14" s="11" t="s">
        <v>339</v>
      </c>
      <c r="B14" s="11">
        <v>9</v>
      </c>
      <c r="C14" s="12">
        <v>7</v>
      </c>
      <c r="D14" s="12">
        <v>5</v>
      </c>
      <c r="E14" s="12">
        <v>5</v>
      </c>
      <c r="F14" s="13">
        <v>1</v>
      </c>
    </row>
    <row r="16" spans="1:6" ht="15" thickBot="1" x14ac:dyDescent="0.4">
      <c r="A16" t="s">
        <v>367</v>
      </c>
    </row>
    <row r="17" spans="1:5" ht="15" thickBot="1" x14ac:dyDescent="0.4">
      <c r="A17" s="6"/>
      <c r="B17" s="14" t="s">
        <v>340</v>
      </c>
      <c r="C17" s="7" t="s">
        <v>342</v>
      </c>
      <c r="D17" s="7" t="s">
        <v>341</v>
      </c>
      <c r="E17" s="8" t="s">
        <v>368</v>
      </c>
    </row>
    <row r="18" spans="1:5" x14ac:dyDescent="0.35">
      <c r="A18" s="15" t="s">
        <v>340</v>
      </c>
      <c r="B18" s="6">
        <v>1</v>
      </c>
      <c r="C18" s="7">
        <v>3</v>
      </c>
      <c r="D18" s="7">
        <v>5</v>
      </c>
      <c r="E18" s="8">
        <v>9</v>
      </c>
    </row>
    <row r="19" spans="1:5" x14ac:dyDescent="0.35">
      <c r="A19" s="9" t="s">
        <v>342</v>
      </c>
      <c r="B19" s="9">
        <f>1/3</f>
        <v>0.33333333333333331</v>
      </c>
      <c r="C19">
        <v>1</v>
      </c>
      <c r="D19">
        <v>3</v>
      </c>
      <c r="E19" s="10">
        <v>7</v>
      </c>
    </row>
    <row r="20" spans="1:5" x14ac:dyDescent="0.35">
      <c r="A20" s="9" t="s">
        <v>341</v>
      </c>
      <c r="B20" s="9">
        <f>0.2</f>
        <v>0.2</v>
      </c>
      <c r="C20">
        <f>1/3</f>
        <v>0.33333333333333331</v>
      </c>
      <c r="D20">
        <v>1</v>
      </c>
      <c r="E20" s="10">
        <v>5</v>
      </c>
    </row>
    <row r="21" spans="1:5" ht="15" thickBot="1" x14ac:dyDescent="0.4">
      <c r="A21" s="11" t="s">
        <v>368</v>
      </c>
      <c r="B21" s="11">
        <f>1/9</f>
        <v>0.1111111111111111</v>
      </c>
      <c r="C21" s="12">
        <f>1/7</f>
        <v>0.14285714285714285</v>
      </c>
      <c r="D21" s="12">
        <f>1/5</f>
        <v>0.2</v>
      </c>
      <c r="E21" s="13">
        <v>1</v>
      </c>
    </row>
    <row r="24" spans="1:5" ht="15" thickBot="1" x14ac:dyDescent="0.4">
      <c r="A24" t="s">
        <v>310</v>
      </c>
    </row>
    <row r="25" spans="1:5" ht="15" thickBot="1" x14ac:dyDescent="0.4">
      <c r="A25" s="6"/>
      <c r="B25" s="14" t="s">
        <v>328</v>
      </c>
      <c r="C25" s="8" t="s">
        <v>327</v>
      </c>
    </row>
    <row r="26" spans="1:5" x14ac:dyDescent="0.35">
      <c r="A26" s="15" t="s">
        <v>328</v>
      </c>
      <c r="B26" s="6">
        <v>1</v>
      </c>
      <c r="C26" s="8">
        <v>5</v>
      </c>
    </row>
    <row r="27" spans="1:5" ht="15" thickBot="1" x14ac:dyDescent="0.4">
      <c r="A27" s="11" t="s">
        <v>327</v>
      </c>
      <c r="B27" s="11">
        <v>0.2</v>
      </c>
      <c r="C27" s="13">
        <v>1</v>
      </c>
    </row>
    <row r="29" spans="1:5" ht="15" thickBot="1" x14ac:dyDescent="0.4">
      <c r="A29" t="s">
        <v>311</v>
      </c>
    </row>
    <row r="30" spans="1:5" ht="15" thickBot="1" x14ac:dyDescent="0.4">
      <c r="A30" s="6"/>
      <c r="B30" s="14" t="s">
        <v>328</v>
      </c>
      <c r="C30" s="8" t="s">
        <v>327</v>
      </c>
    </row>
    <row r="31" spans="1:5" x14ac:dyDescent="0.35">
      <c r="A31" s="15" t="s">
        <v>328</v>
      </c>
      <c r="B31" s="6">
        <v>1</v>
      </c>
      <c r="C31" s="8">
        <v>6</v>
      </c>
    </row>
    <row r="32" spans="1:5" ht="15" thickBot="1" x14ac:dyDescent="0.4">
      <c r="A32" s="11" t="s">
        <v>327</v>
      </c>
      <c r="B32" s="11">
        <f>1/6</f>
        <v>0.16666666666666666</v>
      </c>
      <c r="C32" s="13">
        <v>1</v>
      </c>
    </row>
    <row r="34" spans="1:3" ht="15" thickBot="1" x14ac:dyDescent="0.4">
      <c r="A34" t="s">
        <v>312</v>
      </c>
    </row>
    <row r="35" spans="1:3" ht="15" thickBot="1" x14ac:dyDescent="0.4">
      <c r="A35" s="6"/>
      <c r="B35" s="14" t="s">
        <v>328</v>
      </c>
      <c r="C35" s="8" t="s">
        <v>327</v>
      </c>
    </row>
    <row r="36" spans="1:3" x14ac:dyDescent="0.35">
      <c r="A36" s="15" t="s">
        <v>328</v>
      </c>
      <c r="B36" s="6">
        <v>1</v>
      </c>
      <c r="C36" s="8">
        <v>4</v>
      </c>
    </row>
    <row r="37" spans="1:3" ht="15" thickBot="1" x14ac:dyDescent="0.4">
      <c r="A37" s="11" t="s">
        <v>327</v>
      </c>
      <c r="B37" s="11">
        <v>0.25</v>
      </c>
      <c r="C37" s="13">
        <v>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D4F49-40B0-4551-BBA9-8427F55846B9}">
  <dimension ref="A1:E12"/>
  <sheetViews>
    <sheetView workbookViewId="0">
      <selection activeCell="A121" sqref="A121:C142"/>
    </sheetView>
  </sheetViews>
  <sheetFormatPr defaultRowHeight="14.5" x14ac:dyDescent="0.35"/>
  <cols>
    <col min="1" max="1" width="25.1796875" bestFit="1" customWidth="1"/>
    <col min="2" max="2" width="23.90625" bestFit="1" customWidth="1"/>
    <col min="3" max="3" width="35.36328125" bestFit="1" customWidth="1"/>
    <col min="4" max="4" width="35.36328125" customWidth="1"/>
  </cols>
  <sheetData>
    <row r="1" spans="1:5" ht="65" customHeight="1" x14ac:dyDescent="0.35">
      <c r="A1" s="16" t="s">
        <v>352</v>
      </c>
      <c r="B1" s="16"/>
      <c r="C1" s="16"/>
      <c r="D1" s="16"/>
      <c r="E1" s="16"/>
    </row>
    <row r="2" spans="1:5" x14ac:dyDescent="0.35">
      <c r="A2" s="1" t="s">
        <v>348</v>
      </c>
      <c r="B2" s="1" t="s">
        <v>371</v>
      </c>
      <c r="C2" s="1" t="s">
        <v>324</v>
      </c>
      <c r="D2" s="1" t="s">
        <v>351</v>
      </c>
      <c r="E2" s="1" t="s">
        <v>372</v>
      </c>
    </row>
    <row r="3" spans="1:5" x14ac:dyDescent="0.35">
      <c r="A3" t="s">
        <v>349</v>
      </c>
      <c r="B3">
        <v>6</v>
      </c>
      <c r="C3" t="s">
        <v>95</v>
      </c>
      <c r="D3" t="s">
        <v>335</v>
      </c>
      <c r="E3">
        <v>1</v>
      </c>
    </row>
    <row r="4" spans="1:5" x14ac:dyDescent="0.35">
      <c r="A4" t="s">
        <v>349</v>
      </c>
      <c r="B4">
        <v>6</v>
      </c>
      <c r="C4" t="s">
        <v>121</v>
      </c>
      <c r="D4" t="s">
        <v>335</v>
      </c>
      <c r="E4">
        <v>1</v>
      </c>
    </row>
    <row r="5" spans="1:5" x14ac:dyDescent="0.35">
      <c r="A5" t="s">
        <v>350</v>
      </c>
      <c r="B5">
        <v>7</v>
      </c>
      <c r="C5" t="s">
        <v>360</v>
      </c>
      <c r="D5" t="s">
        <v>335</v>
      </c>
      <c r="E5">
        <v>2</v>
      </c>
    </row>
    <row r="6" spans="1:5" x14ac:dyDescent="0.35">
      <c r="A6" t="s">
        <v>350</v>
      </c>
      <c r="B6">
        <v>7</v>
      </c>
      <c r="C6" t="s">
        <v>357</v>
      </c>
      <c r="D6" t="s">
        <v>335</v>
      </c>
      <c r="E6">
        <v>1</v>
      </c>
    </row>
    <row r="7" spans="1:5" x14ac:dyDescent="0.35">
      <c r="A7" t="s">
        <v>354</v>
      </c>
      <c r="B7">
        <v>8</v>
      </c>
      <c r="C7" t="s">
        <v>359</v>
      </c>
      <c r="D7" t="s">
        <v>336</v>
      </c>
      <c r="E7">
        <v>1</v>
      </c>
    </row>
    <row r="8" spans="1:5" x14ac:dyDescent="0.35">
      <c r="A8" t="s">
        <v>354</v>
      </c>
      <c r="B8">
        <v>8</v>
      </c>
      <c r="C8" t="s">
        <v>358</v>
      </c>
      <c r="D8" t="s">
        <v>336</v>
      </c>
      <c r="E8">
        <v>0.1</v>
      </c>
    </row>
    <row r="9" spans="1:5" x14ac:dyDescent="0.35">
      <c r="A9" t="s">
        <v>354</v>
      </c>
      <c r="B9">
        <v>8</v>
      </c>
      <c r="C9" t="s">
        <v>356</v>
      </c>
      <c r="D9" t="s">
        <v>336</v>
      </c>
      <c r="E9">
        <v>0.2</v>
      </c>
    </row>
    <row r="10" spans="1:5" x14ac:dyDescent="0.35">
      <c r="A10" t="s">
        <v>353</v>
      </c>
      <c r="B10">
        <v>7</v>
      </c>
      <c r="C10" t="s">
        <v>276</v>
      </c>
      <c r="D10" t="s">
        <v>335</v>
      </c>
      <c r="E10">
        <v>0.5</v>
      </c>
    </row>
    <row r="11" spans="1:5" x14ac:dyDescent="0.35">
      <c r="A11" t="s">
        <v>353</v>
      </c>
      <c r="B11">
        <v>7</v>
      </c>
      <c r="C11" t="s">
        <v>278</v>
      </c>
      <c r="D11" t="s">
        <v>335</v>
      </c>
      <c r="E11">
        <v>0.4</v>
      </c>
    </row>
    <row r="12" spans="1:5" x14ac:dyDescent="0.35">
      <c r="A12" t="s">
        <v>353</v>
      </c>
      <c r="B12">
        <v>7</v>
      </c>
      <c r="C12" t="s">
        <v>280</v>
      </c>
      <c r="D12" t="s">
        <v>335</v>
      </c>
      <c r="E12">
        <v>0.5</v>
      </c>
    </row>
  </sheetData>
  <mergeCells count="1">
    <mergeCell ref="A1:E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vt:i4>
      </vt:variant>
    </vt:vector>
  </HeadingPairs>
  <TitlesOfParts>
    <vt:vector size="6" baseType="lpstr">
      <vt:lpstr>soort</vt:lpstr>
      <vt:lpstr>criterium</vt:lpstr>
      <vt:lpstr>meetnet</vt:lpstr>
      <vt:lpstr>soort_scores</vt:lpstr>
      <vt:lpstr>criterium_belang</vt:lpstr>
      <vt:lpstr>monitoringgroepen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 Raïsa</dc:creator>
  <cp:lastModifiedBy>raïsa carmen</cp:lastModifiedBy>
  <dcterms:created xsi:type="dcterms:W3CDTF">2015-06-05T18:19:34Z</dcterms:created>
  <dcterms:modified xsi:type="dcterms:W3CDTF">2026-07-09T13:26:09Z</dcterms:modified>
</cp:coreProperties>
</file>